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v Backend Estimates" state="visible" r:id="rId5"/>
    <sheet sheetId="3" name="Dev Mobile Estimates" state="visible" r:id="rId6"/>
    <sheet sheetId="4" name="Dev Web Estimates" state="visible" r:id="rId7"/>
    <sheet sheetId="5" name="QA Estimates" state="visible" r:id="rId8"/>
    <sheet sheetId="6" name="Design Estimates" state="visible" r:id="rId9"/>
    <sheet sheetId="7" name="Other Estimates" state="visible" r:id="rId10"/>
    <sheet sheetId="8" name="All Tasks" state="visible" r:id="rId11"/>
  </sheets>
  <calcPr calcId="171027"/>
</workbook>
</file>

<file path=xl/sharedStrings.xml><?xml version="1.0" encoding="utf-8"?>
<sst xmlns="http://schemas.openxmlformats.org/spreadsheetml/2006/main" count="571" uniqueCount="196">
  <si>
    <t>Folio3 Project Estimation</t>
  </si>
  <si>
    <t>Maintenance Request</t>
  </si>
  <si>
    <t>Summary of Estimates</t>
  </si>
  <si>
    <t>Client Name</t>
  </si>
  <si>
    <t>The ignite studio</t>
  </si>
  <si>
    <t>Project Manager</t>
  </si>
  <si>
    <t>Ahsan Raza</t>
  </si>
  <si>
    <t>Date</t>
  </si>
  <si>
    <t>2026-10-10</t>
  </si>
  <si>
    <t>Version</t>
  </si>
  <si>
    <t>1</t>
  </si>
  <si>
    <t>Efforts (in hours)</t>
  </si>
  <si>
    <t>Task Summary</t>
  </si>
  <si>
    <t>Minimum</t>
  </si>
  <si>
    <t>Maximum</t>
  </si>
  <si>
    <t>Comments</t>
  </si>
  <si>
    <t>Avg</t>
  </si>
  <si>
    <t>Resources</t>
  </si>
  <si>
    <t>Weeks</t>
  </si>
  <si>
    <t>Backend Development Estimates</t>
  </si>
  <si>
    <t>Grand total of the Backend sheet</t>
  </si>
  <si>
    <t>Mobile Development Estimates</t>
  </si>
  <si>
    <t>Grand total of the Mobile sheet</t>
  </si>
  <si>
    <t>Admin Development Estimates</t>
  </si>
  <si>
    <t>Grand total of the Web / Admin sheet</t>
  </si>
  <si>
    <t>QA Estimates</t>
  </si>
  <si>
    <t>Grand total of the QA sheet</t>
  </si>
  <si>
    <t>GD Estimates</t>
  </si>
  <si>
    <t>Other Estimates sheet</t>
  </si>
  <si>
    <t>PM Estimates</t>
  </si>
  <si>
    <t>PDM Estimates</t>
  </si>
  <si>
    <t>Cross-cutting Estimates</t>
  </si>
  <si>
    <t>Other Estimates sheet: deployment, documentation and the like</t>
  </si>
  <si>
    <t>Design Estimates</t>
  </si>
  <si>
    <t>Counted in the total only when Design is switched on below</t>
  </si>
  <si>
    <t>Total</t>
  </si>
  <si>
    <t>List of Special Considerations, where applicable:</t>
  </si>
  <si>
    <t>Tasks</t>
  </si>
  <si>
    <t>Action</t>
  </si>
  <si>
    <t/>
  </si>
  <si>
    <t>Application type (mobile, desktop, web)</t>
  </si>
  <si>
    <t>Backend + Web</t>
  </si>
  <si>
    <t>From the tracks that have work</t>
  </si>
  <si>
    <t>Platforms/OS supported</t>
  </si>
  <si>
    <t>Not specified</t>
  </si>
  <si>
    <t>Confirm with the client</t>
  </si>
  <si>
    <t>Browsers supported</t>
  </si>
  <si>
    <t>No specific browser support target beyond browsers compatible with the chosen implementation.</t>
  </si>
  <si>
    <t>Clarify answer Q-2</t>
  </si>
  <si>
    <t>Deployment (cloud, dedicated server, enterprise internal network)</t>
  </si>
  <si>
    <t>Performance, Load requirements</t>
  </si>
  <si>
    <t>Security requirements</t>
  </si>
  <si>
    <t>Documentation requirements</t>
  </si>
  <si>
    <t>Other custom?</t>
  </si>
  <si>
    <t>No</t>
  </si>
  <si>
    <t>Parameters</t>
  </si>
  <si>
    <t>Include Design in total</t>
  </si>
  <si>
    <t>Yes</t>
  </si>
  <si>
    <t>Hours per week</t>
  </si>
  <si>
    <t>Feedback rounds</t>
  </si>
  <si>
    <t>Stack chosen by</t>
  </si>
  <si>
    <t>undecided</t>
  </si>
  <si>
    <t>Delivery model</t>
  </si>
  <si>
    <t>Solely agentic</t>
  </si>
  <si>
    <t>How to read the hours</t>
  </si>
  <si>
    <t>Each task's Minimum and Maximum are the hours it takes to deliver. Most of the work is done by AI agents; a person's hours are added only where a person is needed (client acceptance, design sign-off, project liaison, accounts and keys).</t>
  </si>
  <si>
    <t>Elapsed time</t>
  </si>
  <si>
    <t>Planning (minutes)</t>
  </si>
  <si>
    <t>Build critical path (days)</t>
  </si>
  <si>
    <t>Assumptions</t>
  </si>
  <si>
    <t>Spec question Q-6: Should the 1280 px table-layout target be configurable, or remain the fixed target specified for this release? → Keep 1280 px as the fixed table-layout target. (answered)</t>
  </si>
  <si>
    <t>Spec question Q-7: Should the request detail screen add states for loading a request and for failures other than not-found? → Keep the specified detail behavior: show the request on success and “Request not found.” for an unknown ID; add no other fetch states. (answered)</t>
  </si>
  <si>
    <t>Spec question Q-8: How should AC-1.1 verify that a newly created request can be retrieved? → Compare the create response with a separate get-by-ID API response. (answered)</t>
  </si>
  <si>
    <t>No design was drawn for this estimate (it was left out at the start): the UI tasks are sized from the requirements alone, with no approved screens behind them, so their range is wider. A build from this estimate draws the design and has it approved before its plan.</t>
  </si>
  <si>
    <t>Gate time, cost and duration are assumed figures, labelled cold-start until the ledger has measured runs.</t>
  </si>
  <si>
    <t>Split before the build: EST-4, EST-5, EST-6 (agent work over 16 h or very large is split into smaller tasks; the hours stay as estimated).</t>
  </si>
  <si>
    <t>Development Estimates for Maintenance Request</t>
  </si>
  <si>
    <t>by Ahsan Raza</t>
  </si>
  <si>
    <t>Grand Total (in hours)</t>
  </si>
  <si>
    <t>Sum of development, other activities and research efforts.</t>
  </si>
  <si>
    <t>S.No</t>
  </si>
  <si>
    <t>Task</t>
  </si>
  <si>
    <t>Executor</t>
  </si>
  <si>
    <t>Requirement id(s)</t>
  </si>
  <si>
    <t>Task id</t>
  </si>
  <si>
    <t>Request data and HTTP API</t>
  </si>
  <si>
    <t>Request data model, migrations, persistence, and seed data</t>
  </si>
  <si>
    <t>Request record fields: ID, title, area, priority, optional description, status, and UTC creation time; Database migrations for the request record; Persistence across application restarts; On empty-database initialization, seed exactly eight requests: four Open including exactly one Urgent, two In progress, two Done, with every supported area represented</t>
  </si>
  <si>
    <t>Factory</t>
  </si>
  <si>
    <t>REQ-1, REQ-2, REQ-3, REQ-6</t>
  </si>
  <si>
    <t>EST-1</t>
  </si>
  <si>
    <t>List requests API</t>
  </si>
  <si>
    <t>List requests operation with optional single-status filter; Return all requests or only those matching the requested status, ordered newest first; Return the seeded request list and status counts after initialization</t>
  </si>
  <si>
    <t>REQ-2, REQ-4, REQ-5</t>
  </si>
  <si>
    <t>EST-2</t>
  </si>
  <si>
    <t>Get request by ID API</t>
  </si>
  <si>
    <t>Get-by-ID operation returns the persisted request record; Unknown ID returns a not-found response; Create response and separate get-by-ID response contain the same ID and request-field values</t>
  </si>
  <si>
    <t>REQ-1, REQ-3, REQ-4, REQ-20</t>
  </si>
  <si>
    <t>EST-3</t>
  </si>
  <si>
    <t>Create request operation and validation rules</t>
  </si>
  <si>
    <t>Create request operation assigns a system-generated ID, UTC creation time, and Open status; Trim surrounding title whitespace before validating and storing; require 3 to 80 characters; Require area Kitchen, Meeting room, Open desk, Washroom, or Reception; Require priority Low, Normal, or Urgent; Allow an optional description of at most 500 characters; Invalid values return an error naming the invalid field; Keep title, area, priority, and description fixed after creation; reject attempts to change those fields or delete a request; Expose only the specified request operations; do not provide additional request operations</t>
  </si>
  <si>
    <t>REQ-4, REQ-6, REQ-7, REQ-8</t>
  </si>
  <si>
    <t>EST-4</t>
  </si>
  <si>
    <t>Request status-change operation and transition rules</t>
  </si>
  <si>
    <t>Accept Open to In progress, In progress to Done, and Done to Open only; Reject all other status changes without changing the record; Unknown request ID returns not found; Missing status-change body and unrecognized status value return errors without changing the record; Do not expose edit or delete operations</t>
  </si>
  <si>
    <t>REQ-4, REQ-8, REQ-9</t>
  </si>
  <si>
    <t>EST-5</t>
  </si>
  <si>
    <t>Development Total Efforts (in hours)</t>
  </si>
  <si>
    <t>Other Development Activities</t>
  </si>
  <si>
    <t>None</t>
  </si>
  <si>
    <t>Post Development Activities Total Efforts (in hours)</t>
  </si>
  <si>
    <t>Research Task (if any)</t>
  </si>
  <si>
    <t>No research task in this estimate</t>
  </si>
  <si>
    <t>Research Total Efforts (in hours)</t>
  </si>
  <si>
    <t>Assumptions &amp; Constraints</t>
  </si>
  <si>
    <t>Risks</t>
  </si>
  <si>
    <t>Estimates will increase in case of change in requirement</t>
  </si>
  <si>
    <t>Not in scope: no work in this estimate</t>
  </si>
  <si>
    <t>Requests list and request creation</t>
  </si>
  <si>
    <t>Requests list screen</t>
  </si>
  <si>
    <t>Hive Works wordmark and signed-in demo-user initials SC; Status filter choices All, Open, In progress, and Done; All selected initially; Newest-first request list, with stacked cards at 375 px and table rows at 1280 px; no horizontal page scroll at those widths; New request button; Loading state “Loading requests…”; empty state “No requests here.”; load-error state “Could not load requests.” with Retry button; Selecting a filter loads its list; returning from detail retains the selected filter and refreshes the list; After successful creation, show the new Open request at the top and select All; Created date displayed without time or timezone, in a date-only format such as “8 Oct 2026”; Status and priority badges use the specified colors and include readable text labels; Every control is keyboard reachable; text meets WCAG AA contrast</t>
  </si>
  <si>
    <t>REQ-10, REQ-11, REQ-13, REQ-16, REQ-21, REQ-22, REQ-23</t>
  </si>
  <si>
    <t>EST-7</t>
  </si>
  <si>
    <t>New request dialog</t>
  </si>
  <si>
    <t>Dialog with labeled Title, Area, Priority, and Description fields; Priority defaults to Normal; Create and Cancel controls; Show a field's validation error under that field and keep the dialog open; include the Title error “Title must be 3 to 80 characters.” for a two-character title; On non-validation create failure, show “Could not create request.”, retain entered values, and allow retry through Create; On successful creation, close the dialog and show the new Open request through the Requests list's All filter; Every field is labeled and every control is keyboard reachable</t>
  </si>
  <si>
    <t>REQ-7, REQ-12, REQ-13, REQ-14, REQ-15, REQ-22</t>
  </si>
  <si>
    <t>EST-8</t>
  </si>
  <si>
    <t>Request detail and status changes</t>
  </si>
  <si>
    <t>Request detail screen</t>
  </si>
  <si>
    <t>Back link; request title, area, priority badge, status badge, created date, and description or “No description.”; Show “Request not found.” and a link back to Requests for an unknown ID; Show Start work for Open, Mark done for In progress, and Reopen for Done; After a successful status change, show the new status badge and corresponding next action; on failure show “Could not update the request.” and retain the prior status badge; Status and priority badges use the specified colors and include readable text labels; Created date displayed without time or timezone, in a date-only format such as “8 Oct 2026”; Every control is keyboard reachable; text meets WCAG AA contrast</t>
  </si>
  <si>
    <t>REQ-11, REQ-17, REQ-18, REQ-19, REQ-20, REQ-21, REQ-22, REQ-23</t>
  </si>
  <si>
    <t>EST-9</t>
  </si>
  <si>
    <t>Visual presentation and accessibility</t>
  </si>
  <si>
    <t>Web application shell and light theme</t>
  </si>
  <si>
    <t>Browser-accessible web application shell and page layout; One light theme with sans-serif text, neutral background, and near-black text</t>
  </si>
  <si>
    <t>REQ-1, REQ-21</t>
  </si>
  <si>
    <t>EST-6</t>
  </si>
  <si>
    <t>QA Estimates for Maintenance Request</t>
  </si>
  <si>
    <t>Grand Total Efforts (in hours)</t>
  </si>
  <si>
    <t>Sum of QA and Misc.</t>
  </si>
  <si>
    <t>Estimation Summary</t>
  </si>
  <si>
    <t>Test Plan/Strategy</t>
  </si>
  <si>
    <t>Test planning, with the test plan, strategy and traceability matrix as outputs. Not sized in this estimate</t>
  </si>
  <si>
    <t>Set up of Test Environments</t>
  </si>
  <si>
    <t>Setting up code and white box test environments. Not sized in this estimate</t>
  </si>
  <si>
    <t>Validation and Smoke test cases</t>
  </si>
  <si>
    <t>Test cases to execute while debugging and white box testing</t>
  </si>
  <si>
    <t>Automated request business-rule test cases</t>
  </si>
  <si>
    <t>Automated cases for valid creation with Open status; missing and too-short title rejection; missing area rejection; too-long description rejection; Automated cases for all three allowed status transitions and rejection of a disallowed transition; Automated cases for filtered newest-first listing and unknown-ID not-found behavior</t>
  </si>
  <si>
    <t>REQ-24</t>
  </si>
  <si>
    <t>EST-10</t>
  </si>
  <si>
    <t>Validation testing</t>
  </si>
  <si>
    <t>Testing cycles; the detail is below</t>
  </si>
  <si>
    <t>Testing Cycle 1</t>
  </si>
  <si>
    <t>Smoke testing</t>
  </si>
  <si>
    <t>Smoke testing after each deployment, including preparation. Not sized in this estimate</t>
  </si>
  <si>
    <t>Multi Browser Compatibility testing</t>
  </si>
  <si>
    <t>Browser, OS and device compatibility. Not sized in this estimate</t>
  </si>
  <si>
    <t>UAT</t>
  </si>
  <si>
    <t>Client user acceptance testing support</t>
  </si>
  <si>
    <t>Client acceptance testing</t>
  </si>
  <si>
    <t>Client UAT is a required human acceptance activity and does not deliver a specification requirement.</t>
  </si>
  <si>
    <t>Human</t>
  </si>
  <si>
    <t>EST-12</t>
  </si>
  <si>
    <t>Misc. Optional testing</t>
  </si>
  <si>
    <t>Other testing named in the breakdown, and supervisor gate time. Not sized in this estimate</t>
  </si>
  <si>
    <t>Total QA Efforts</t>
  </si>
  <si>
    <t>Total hours of QA</t>
  </si>
  <si>
    <t>Validation Testing</t>
  </si>
  <si>
    <t>Automated list-to-completion end-to-end test</t>
  </si>
  <si>
    <t>Run the list, create, open, Start work, Mark done, and Done-filter workflow; Verify the created request appears at the top, then appears in the Done-filtered list after completion</t>
  </si>
  <si>
    <t>EST-11</t>
  </si>
  <si>
    <t>Total Testing Cycle 1</t>
  </si>
  <si>
    <t>Sum of testing cycle 1</t>
  </si>
  <si>
    <t>Design Estimates for Maintenance Request</t>
  </si>
  <si>
    <t>Other Estimates for Maintenance Request</t>
  </si>
  <si>
    <t>GD</t>
  </si>
  <si>
    <t>GD TOTAL</t>
  </si>
  <si>
    <t>PM</t>
  </si>
  <si>
    <t>Client liaison and project management</t>
  </si>
  <si>
    <t>Required human client liaison and project-management overhead; factory planning and coordination of its own work are excluded.</t>
  </si>
  <si>
    <t>EST-13</t>
  </si>
  <si>
    <t>PM TOTAL</t>
  </si>
  <si>
    <t>PDM</t>
  </si>
  <si>
    <t>PDM TOTAL</t>
  </si>
  <si>
    <t>Cross-cutting</t>
  </si>
  <si>
    <t>Cross-cutting TOTAL</t>
  </si>
  <si>
    <t>All tasks: Maintenance Request</t>
  </si>
  <si>
    <t>Filter or sort any column. The Total row adds up only the rows the filter shows.</t>
  </si>
  <si>
    <t>Track</t>
  </si>
  <si>
    <t>Module</t>
  </si>
  <si>
    <t>Backend</t>
  </si>
  <si>
    <t>Web</t>
  </si>
  <si>
    <t>QA</t>
  </si>
  <si>
    <t>Automated verification</t>
  </si>
  <si>
    <t>Total (rows shown)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</si>
</sst>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-0.00;&quot;–&quot;"/>
    <numFmt numFmtId="165" formatCode="mm/dd/yyyy"/>
  </numFmts>
  <fonts count="18" x14ac:knownFonts="1">
    <font>
      <color theme="1"/>
      <family val="2"/>
      <scheme val="minor"/>
      <sz val="11"/>
      <name val="Calibri"/>
    </font>
    <font>
      <color rgb="FF595959"/>
      <sz val="11"/>
      <name val="Calibri"/>
    </font>
    <font>
      <b/>
      <color theme="0"/>
      <sz val="16"/>
      <name val="Calibri"/>
    </font>
    <font>
      <b/>
      <color theme="1"/>
      <sz val="11"/>
      <name val="Calibri"/>
    </font>
    <font>
      <color rgb="FF000000"/>
      <sz val="11"/>
      <name val="Calibri"/>
    </font>
    <font>
      <i/>
      <color rgb="FF7F7F7F"/>
      <sz val="11"/>
      <name val="Calibri"/>
    </font>
    <font>
      <b/>
      <color theme="0"/>
      <sz val="11"/>
      <name val="Calibri"/>
    </font>
    <font>
      <color theme="1"/>
      <scheme val="minor"/>
      <name val="Arial"/>
    </font>
    <font>
      <color theme="1"/>
      <sz val="11"/>
      <name val="Calibri"/>
    </font>
    <font>
      <i/>
      <color theme="1"/>
      <sz val="11"/>
      <name val="Calibri"/>
    </font>
    <font>
      <color rgb="FFFFFFFF"/>
      <sz val="18"/>
      <name val="Calibri"/>
    </font>
    <font>
      <color rgb="FF000000"/>
      <sz val="14"/>
      <name val="Calibri"/>
    </font>
    <font>
      <b/>
      <color theme="1"/>
      <sz val="14"/>
      <name val="Calibri"/>
    </font>
    <font>
      <b/>
      <color rgb="FFFFFFFF"/>
      <sz val="11"/>
      <name val="Calibri"/>
    </font>
    <font>
      <b/>
      <color rgb="FF3F3F3F"/>
      <sz val="11"/>
      <name val="Calibri"/>
    </font>
    <font>
      <i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7" fillId="0" borderId="0" xfId="0" applyFont="1" applyAlignment="1">
      <alignment readingOrder="1"/>
    </xf>
    <xf numFmtId="0" fontId="8" fillId="0" borderId="2" xfId="0" applyFont="1" applyBorder="1" applyAlignment="1">
      <alignment readingOrder="1"/>
    </xf>
    <xf numFmtId="164" fontId="4" fillId="0" borderId="2" xfId="0" applyNumberFormat="1" applyFont="1" applyBorder="1"/>
    <xf numFmtId="0" fontId="8" fillId="0" borderId="2" xfId="0" applyFont="1" applyBorder="1"/>
    <xf numFmtId="164" fontId="8" fillId="0" borderId="0" xfId="0" applyNumberFormat="1" applyFont="1"/>
    <xf numFmtId="164" fontId="8" fillId="0" borderId="0" xfId="0" applyNumberFormat="1" applyFont="1" applyAlignment="1">
      <alignment readingOrder="1"/>
    </xf>
    <xf numFmtId="164" fontId="8" fillId="0" borderId="2" xfId="0" applyNumberFormat="1" applyFont="1" applyBorder="1"/>
    <xf numFmtId="0" fontId="9" fillId="0" borderId="2" xfId="0" applyFont="1" applyBorder="1" applyAlignment="1">
      <alignment horizontal="left"/>
    </xf>
    <xf numFmtId="164" fontId="0" fillId="0" borderId="0" xfId="0" applyNumberFormat="1"/>
    <xf numFmtId="0" fontId="10" fillId="2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right"/>
    </xf>
    <xf numFmtId="0" fontId="14" fillId="3" borderId="2" xfId="0" applyFont="1" applyFill="1" applyBorder="1" applyAlignment="1">
      <alignment readingOrder="1"/>
    </xf>
    <xf numFmtId="164" fontId="14" fillId="3" borderId="2" xfId="0" applyNumberFormat="1" applyFont="1" applyFill="1" applyBorder="1" applyAlignment="1">
      <alignment horizontal="right"/>
    </xf>
    <xf numFmtId="0" fontId="8" fillId="3" borderId="2" xfId="0" applyFont="1" applyFill="1" applyBorder="1"/>
    <xf numFmtId="0" fontId="4" fillId="0" borderId="2" xfId="0" applyFont="1" applyBorder="1" applyAlignment="1">
      <alignment readingOrder="1"/>
    </xf>
    <xf numFmtId="164" fontId="4" fillId="0" borderId="2" xfId="0" applyNumberFormat="1" applyFont="1" applyBorder="1" applyAlignment="1">
      <alignment horizontal="right" readingOrder="1"/>
    </xf>
    <xf numFmtId="0" fontId="14" fillId="3" borderId="2" xfId="0" applyFont="1" applyFill="1" applyBorder="1" applyAlignment="1">
      <alignment horizontal="right" vertical="center"/>
    </xf>
    <xf numFmtId="164" fontId="14" fillId="3" borderId="2" xfId="0" applyNumberFormat="1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5" fillId="0" borderId="0" xfId="0" applyFont="1"/>
    <xf numFmtId="0" fontId="16" fillId="0" borderId="0" xfId="0" applyFont="1"/>
    <xf numFmtId="0" fontId="17" fillId="4" borderId="0" xfId="0" applyFont="1" applyFill="1"/>
    <xf numFmtId="0" fontId="17" fillId="0" borderId="0" xfId="0" applyFont="1"/>
    <xf numFmtId="164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FormatPr defaultRowHeight="15" outlineLevelRow="0" outlineLevelCol="0" x14ac:dyDescent="55"/>
  <cols>
    <col min="1" max="1" width="7.75" customWidth="1"/>
    <col min="2" max="2" width="33.13" customWidth="1"/>
    <col min="3" max="3" width="9.88" customWidth="1"/>
    <col min="4" max="4" width="10.63" customWidth="1"/>
    <col min="5" max="5" width="42.38" customWidth="1"/>
    <col min="6" max="7" width="14" customWidth="1"/>
    <col min="8" max="10" width="12" customWidth="1"/>
  </cols>
  <sheetData>
    <row r="1" spans="2:2" x14ac:dyDescent="0.25">
      <c r="B1" s="1" t="s">
        <v>0</v>
      </c>
    </row>
    <row r="2" spans="2:5" x14ac:dyDescent="0.25">
      <c r="B2" s="2" t="s">
        <v>1</v>
      </c>
      <c r="C2" s="2"/>
      <c r="D2" s="2"/>
      <c r="E2" s="2"/>
    </row>
    <row r="3" spans="2:5" x14ac:dyDescent="0.25">
      <c r="B3" s="2" t="s">
        <v>2</v>
      </c>
      <c r="C3" s="2"/>
      <c r="D3" s="2"/>
      <c r="E3" s="2"/>
    </row>
    <row r="5" spans="2:3" x14ac:dyDescent="0.25">
      <c r="B5" s="3" t="s">
        <v>3</v>
      </c>
      <c r="C5" s="4" t="s">
        <v>4</v>
      </c>
    </row>
    <row r="6" spans="2:3" x14ac:dyDescent="0.25">
      <c r="B6" s="3" t="s">
        <v>5</v>
      </c>
      <c r="C6" s="4" t="s">
        <v>6</v>
      </c>
    </row>
    <row r="7" spans="2:3" x14ac:dyDescent="0.25">
      <c r="B7" s="3" t="s">
        <v>7</v>
      </c>
      <c r="C7" s="4" t="s">
        <v>8</v>
      </c>
    </row>
    <row r="8" spans="2:3" x14ac:dyDescent="0.25">
      <c r="B8" s="3" t="s">
        <v>9</v>
      </c>
      <c r="C8" s="4" t="s">
        <v>10</v>
      </c>
    </row>
    <row r="9" spans="3:4" x14ac:dyDescent="0.25">
      <c r="C9" s="5" t="s">
        <v>11</v>
      </c>
      <c r="D9" s="5"/>
    </row>
    <row r="10" spans="2:10" x14ac:dyDescent="0.25">
      <c r="B10" s="6" t="s">
        <v>12</v>
      </c>
      <c r="C10" s="7" t="s">
        <v>13</v>
      </c>
      <c r="D10" s="7" t="s">
        <v>14</v>
      </c>
      <c r="E10" s="7" t="s">
        <v>15</v>
      </c>
      <c r="H10" s="8" t="s">
        <v>16</v>
      </c>
      <c r="I10" s="8" t="s">
        <v>17</v>
      </c>
      <c r="J10" s="8" t="s">
        <v>18</v>
      </c>
    </row>
    <row r="11" spans="2:10" x14ac:dyDescent="0.25">
      <c r="B11" s="9" t="s">
        <v>19</v>
      </c>
      <c r="C11" s="10">
        <f>'Dev Backend Estimates'!D6</f>
        <v>27.26</v>
      </c>
      <c r="D11" s="10">
        <f>'Dev Backend Estimates'!E6</f>
        <v>49.73</v>
      </c>
      <c r="E11" s="11" t="s">
        <v>20</v>
      </c>
      <c r="H11" s="12">
        <f>ROUND((C11+D11)/2,2)</f>
        <v>38.49</v>
      </c>
      <c r="I11" s="13">
        <v>1</v>
      </c>
      <c r="J11" s="12">
        <f>ROUND(H11/($C$48*I11),2)</f>
        <v>0.96</v>
      </c>
    </row>
    <row r="12" spans="2:10" x14ac:dyDescent="0.25">
      <c r="B12" s="9" t="s">
        <v>21</v>
      </c>
      <c r="C12" s="10">
        <f>'Dev Mobile Estimates'!D6</f>
        <v>0</v>
      </c>
      <c r="D12" s="10">
        <f>'Dev Mobile Estimates'!E6</f>
        <v>0</v>
      </c>
      <c r="E12" s="11" t="s">
        <v>22</v>
      </c>
      <c r="H12" s="12">
        <f>ROUND((C12+D12)/2,2)</f>
        <v>0</v>
      </c>
      <c r="I12" s="13">
        <v>1</v>
      </c>
      <c r="J12" s="12">
        <f>ROUND(H12/($C$48*I12),2)</f>
        <v>0</v>
      </c>
    </row>
    <row r="13" spans="2:10" x14ac:dyDescent="0.25">
      <c r="B13" s="9" t="s">
        <v>23</v>
      </c>
      <c r="C13" s="10">
        <f>'Dev Web Estimates'!D6</f>
        <v>35.26</v>
      </c>
      <c r="D13" s="10">
        <f>'Dev Web Estimates'!E6</f>
        <v>59.28</v>
      </c>
      <c r="E13" s="11" t="s">
        <v>24</v>
      </c>
      <c r="H13" s="12">
        <f>ROUND((C13+D13)/2,2)</f>
        <v>47.27</v>
      </c>
      <c r="I13" s="13">
        <v>1</v>
      </c>
      <c r="J13" s="12">
        <f>ROUND(H13/($C$48*I13),2)</f>
        <v>1.18</v>
      </c>
    </row>
    <row r="14" spans="2:10" x14ac:dyDescent="0.25">
      <c r="B14" s="9" t="s">
        <v>25</v>
      </c>
      <c r="C14" s="10">
        <f>'QA Estimates'!D6</f>
        <v>13</v>
      </c>
      <c r="D14" s="10">
        <f>'QA Estimates'!E6</f>
        <v>24.2</v>
      </c>
      <c r="E14" s="11" t="s">
        <v>26</v>
      </c>
      <c r="H14" s="12">
        <f>ROUND((C14+D14)/2,2)</f>
        <v>18.6</v>
      </c>
      <c r="I14" s="13">
        <v>1</v>
      </c>
      <c r="J14" s="12">
        <f>ROUND(H14/($C$48*I14),2)</f>
        <v>0.47</v>
      </c>
    </row>
    <row r="15" spans="2:10" x14ac:dyDescent="0.25">
      <c r="B15" s="9" t="s">
        <v>27</v>
      </c>
      <c r="C15" s="10">
        <f>'Other Estimates'!D10</f>
        <v>0</v>
      </c>
      <c r="D15" s="10">
        <f>'Other Estimates'!E10</f>
        <v>0</v>
      </c>
      <c r="E15" s="11" t="s">
        <v>28</v>
      </c>
      <c r="H15" s="12">
        <f>ROUND((C15+D15)/2,2)</f>
        <v>0</v>
      </c>
      <c r="I15" s="13">
        <v>1</v>
      </c>
      <c r="J15" s="12">
        <f>ROUND(H15/($C$48*I15),2)</f>
        <v>0</v>
      </c>
    </row>
    <row r="16" spans="2:10" x14ac:dyDescent="0.25">
      <c r="B16" s="9" t="s">
        <v>29</v>
      </c>
      <c r="C16" s="10">
        <f>'Other Estimates'!D16</f>
        <v>4</v>
      </c>
      <c r="D16" s="10">
        <f>'Other Estimates'!E16</f>
        <v>8</v>
      </c>
      <c r="E16" s="11" t="s">
        <v>28</v>
      </c>
      <c r="H16" s="12">
        <f>ROUND((C16+D16)/2,2)</f>
        <v>6</v>
      </c>
      <c r="I16" s="13">
        <v>1</v>
      </c>
      <c r="J16" s="12">
        <f>ROUND(H16/($C$48*I16),2)</f>
        <v>0.15</v>
      </c>
    </row>
    <row r="17" spans="2:10" x14ac:dyDescent="0.25">
      <c r="B17" s="9" t="s">
        <v>30</v>
      </c>
      <c r="C17" s="10">
        <f>'Other Estimates'!D23</f>
        <v>0</v>
      </c>
      <c r="D17" s="10">
        <f>'Other Estimates'!E23</f>
        <v>0</v>
      </c>
      <c r="E17" s="11" t="s">
        <v>28</v>
      </c>
      <c r="H17" s="12">
        <f>ROUND((C17+D17)/2,2)</f>
        <v>0</v>
      </c>
      <c r="I17" s="13">
        <v>1</v>
      </c>
      <c r="J17" s="12">
        <f>ROUND(H17/($C$48*I17),2)</f>
        <v>0</v>
      </c>
    </row>
    <row r="18" spans="2:10" x14ac:dyDescent="0.25">
      <c r="B18" s="9" t="s">
        <v>31</v>
      </c>
      <c r="C18" s="10">
        <f>'Other Estimates'!D29</f>
        <v>0</v>
      </c>
      <c r="D18" s="10">
        <f>'Other Estimates'!E29</f>
        <v>0</v>
      </c>
      <c r="E18" s="11" t="s">
        <v>32</v>
      </c>
      <c r="H18" s="12">
        <f>ROUND((C18+D18)/2,2)</f>
        <v>0</v>
      </c>
      <c r="I18" s="13">
        <v>1</v>
      </c>
      <c r="J18" s="12">
        <f>ROUND(H18/($C$48*I18),2)</f>
        <v>0</v>
      </c>
    </row>
    <row r="19" spans="2:10" x14ac:dyDescent="0.25">
      <c r="B19" s="9" t="s">
        <v>33</v>
      </c>
      <c r="C19" s="10">
        <f>'Design Estimates'!D6</f>
        <v>0</v>
      </c>
      <c r="D19" s="10">
        <f>'Design Estimates'!E6</f>
        <v>0</v>
      </c>
      <c r="E19" s="11" t="s">
        <v>34</v>
      </c>
      <c r="H19" s="12">
        <f>ROUND((C19+D19)/2,2)</f>
        <v>0</v>
      </c>
      <c r="I19" s="13">
        <v>1</v>
      </c>
      <c r="J19" s="12">
        <f>ROUND(H19/($C$48*I19),2)</f>
        <v>0</v>
      </c>
    </row>
    <row r="20" spans="2:8" x14ac:dyDescent="0.25">
      <c r="B20" s="11" t="s">
        <v>35</v>
      </c>
      <c r="C20" s="14">
        <f>SUM(C11:C18)+IF($C$47="Yes",C19,0)</f>
        <v>79.52</v>
      </c>
      <c r="D20" s="14">
        <f>SUM(D11:D18)+IF($C$47="Yes",D19,0)</f>
        <v>141.21</v>
      </c>
      <c r="H20" s="14">
        <f>ROUND((C20+D20)/2,2)</f>
        <v>110.37</v>
      </c>
    </row>
    <row r="23" spans="2:2" x14ac:dyDescent="0.25">
      <c r="B23" s="3" t="s">
        <v>36</v>
      </c>
    </row>
    <row r="24" spans="2:5" x14ac:dyDescent="0.25">
      <c r="B24" s="6" t="s">
        <v>37</v>
      </c>
      <c r="C24" s="6" t="s">
        <v>38</v>
      </c>
      <c r="D24" s="6" t="s">
        <v>39</v>
      </c>
      <c r="E24" s="6" t="s">
        <v>15</v>
      </c>
    </row>
    <row r="25" spans="2:5" x14ac:dyDescent="0.25">
      <c r="B25" s="11" t="s">
        <v>40</v>
      </c>
      <c r="C25" s="15" t="s">
        <v>41</v>
      </c>
      <c r="E25" s="11" t="s">
        <v>42</v>
      </c>
    </row>
    <row r="26" spans="2:5" x14ac:dyDescent="0.25">
      <c r="B26" s="11" t="s">
        <v>43</v>
      </c>
      <c r="C26" s="15" t="s">
        <v>44</v>
      </c>
      <c r="E26" s="11" t="s">
        <v>45</v>
      </c>
    </row>
    <row r="27" spans="2:5" x14ac:dyDescent="0.25">
      <c r="B27" s="11" t="s">
        <v>46</v>
      </c>
      <c r="C27" s="15" t="s">
        <v>47</v>
      </c>
      <c r="E27" s="11" t="s">
        <v>48</v>
      </c>
    </row>
    <row r="28" spans="2:5" x14ac:dyDescent="0.25">
      <c r="B28" s="11" t="s">
        <v>49</v>
      </c>
      <c r="C28" s="15" t="s">
        <v>44</v>
      </c>
      <c r="E28" s="11" t="s">
        <v>45</v>
      </c>
    </row>
    <row r="29" spans="2:5" x14ac:dyDescent="0.25">
      <c r="B29" s="11" t="s">
        <v>50</v>
      </c>
      <c r="C29" s="15" t="s">
        <v>44</v>
      </c>
      <c r="E29" s="11" t="s">
        <v>45</v>
      </c>
    </row>
    <row r="30" spans="2:5" x14ac:dyDescent="0.25">
      <c r="B30" s="11" t="s">
        <v>51</v>
      </c>
      <c r="C30" s="15" t="s">
        <v>44</v>
      </c>
      <c r="E30" s="11" t="s">
        <v>45</v>
      </c>
    </row>
    <row r="31" spans="2:5" x14ac:dyDescent="0.25">
      <c r="B31" s="11" t="s">
        <v>52</v>
      </c>
      <c r="C31" s="15" t="s">
        <v>44</v>
      </c>
      <c r="E31" s="11" t="s">
        <v>45</v>
      </c>
    </row>
    <row r="32" spans="2:5" x14ac:dyDescent="0.25">
      <c r="B32" s="11" t="s">
        <v>53</v>
      </c>
      <c r="C32" s="15" t="s">
        <v>54</v>
      </c>
      <c r="E32" s="11" t="s">
        <v>39</v>
      </c>
    </row>
    <row r="46" spans="2:2" x14ac:dyDescent="0.25">
      <c r="B46" s="3" t="s">
        <v>55</v>
      </c>
    </row>
    <row r="47" spans="2:3" x14ac:dyDescent="0.25">
      <c r="B47" s="3" t="s">
        <v>56</v>
      </c>
      <c r="C47" s="4" t="s">
        <v>57</v>
      </c>
    </row>
    <row r="48" spans="2:3" x14ac:dyDescent="0.25">
      <c r="B48" s="3" t="s">
        <v>58</v>
      </c>
      <c r="C48" s="4">
        <v>40</v>
      </c>
    </row>
    <row r="49" spans="2:3" x14ac:dyDescent="0.25">
      <c r="B49" s="3" t="s">
        <v>59</v>
      </c>
      <c r="C49" s="4">
        <v>2</v>
      </c>
    </row>
    <row r="50" spans="2:3" x14ac:dyDescent="0.25">
      <c r="B50" s="3" t="s">
        <v>60</v>
      </c>
      <c r="C50" s="4" t="s">
        <v>61</v>
      </c>
    </row>
    <row r="51" spans="2:3" x14ac:dyDescent="0.25">
      <c r="B51" s="3" t="s">
        <v>62</v>
      </c>
      <c r="C51" s="4" t="s">
        <v>63</v>
      </c>
    </row>
    <row r="55" spans="2:2" x14ac:dyDescent="0.25">
      <c r="B55" s="3" t="s">
        <v>64</v>
      </c>
    </row>
    <row r="56" spans="2:2" x14ac:dyDescent="0.25">
      <c r="B56" s="11" t="s">
        <v>65</v>
      </c>
    </row>
    <row r="58" spans="2:2" x14ac:dyDescent="0.25">
      <c r="B58" s="3" t="s">
        <v>66</v>
      </c>
    </row>
    <row r="59" spans="2:3" x14ac:dyDescent="0.25">
      <c r="B59" s="11" t="s">
        <v>67</v>
      </c>
      <c r="C59" s="16">
        <v>15</v>
      </c>
    </row>
    <row r="60" spans="2:4" x14ac:dyDescent="0.25">
      <c r="B60" s="11" t="s">
        <v>68</v>
      </c>
      <c r="C60" s="16">
        <v>3.71</v>
      </c>
      <c r="D60" s="16">
        <v>6.51</v>
      </c>
    </row>
    <row r="62" spans="2:2" x14ac:dyDescent="0.25">
      <c r="B62" s="3" t="s">
        <v>69</v>
      </c>
    </row>
    <row r="63" spans="2:2" x14ac:dyDescent="0.25">
      <c r="B63" s="11" t="s">
        <v>70</v>
      </c>
    </row>
    <row r="64" spans="2:2" x14ac:dyDescent="0.25">
      <c r="B64" s="11" t="s">
        <v>71</v>
      </c>
    </row>
    <row r="65" spans="2:2" x14ac:dyDescent="0.25">
      <c r="B65" s="11" t="s">
        <v>72</v>
      </c>
    </row>
    <row r="66" spans="2:2" x14ac:dyDescent="0.25">
      <c r="B66" s="11" t="s">
        <v>73</v>
      </c>
    </row>
    <row r="67" spans="2:2" x14ac:dyDescent="0.25">
      <c r="B67" s="11" t="s">
        <v>74</v>
      </c>
    </row>
    <row r="68" spans="2:2" x14ac:dyDescent="0.25">
      <c r="B68" s="11" t="s">
        <v>75</v>
      </c>
    </row>
  </sheetData>
  <mergeCells count="3">
    <mergeCell ref="B2:E2"/>
    <mergeCell ref="B3:E3"/>
    <mergeCell ref="C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9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76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6" spans="3:6" x14ac:dyDescent="0.25">
      <c r="C6" s="20" t="s">
        <v>78</v>
      </c>
      <c r="D6" s="21">
        <f>D16+D21+D26</f>
        <v>27.26</v>
      </c>
      <c r="E6" s="21">
        <f>E16+E21+E26</f>
        <v>49.73</v>
      </c>
      <c r="F6" s="22" t="s">
        <v>79</v>
      </c>
    </row>
    <row r="8" spans="2:9" x14ac:dyDescent="0.25">
      <c r="B8" s="23" t="s">
        <v>80</v>
      </c>
      <c r="C8" s="24" t="s">
        <v>81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2:6" x14ac:dyDescent="0.25">
      <c r="B9" s="26">
        <v>1</v>
      </c>
      <c r="C9" s="27" t="s">
        <v>85</v>
      </c>
      <c r="D9" s="28">
        <f>SUM(D10:D14)</f>
        <v>27.26</v>
      </c>
      <c r="E9" s="28">
        <f>SUM(E10:E14)</f>
        <v>49.73</v>
      </c>
      <c r="F9" s="29" t="s">
        <v>39</v>
      </c>
    </row>
    <row r="10" spans="2:9" x14ac:dyDescent="0.25">
      <c r="B10" s="11" t="s">
        <v>39</v>
      </c>
      <c r="C10" s="30" t="s">
        <v>86</v>
      </c>
      <c r="D10" s="31">
        <v>2.88</v>
      </c>
      <c r="E10" s="31">
        <v>5.76</v>
      </c>
      <c r="F10" s="9" t="s">
        <v>87</v>
      </c>
      <c r="G10" t="s">
        <v>88</v>
      </c>
      <c r="H10" t="s">
        <v>89</v>
      </c>
      <c r="I10" t="s">
        <v>90</v>
      </c>
    </row>
    <row r="11" spans="2:9" x14ac:dyDescent="0.25">
      <c r="B11" s="11" t="s">
        <v>39</v>
      </c>
      <c r="C11" s="30" t="s">
        <v>91</v>
      </c>
      <c r="D11" s="31">
        <v>3.24</v>
      </c>
      <c r="E11" s="31">
        <v>6.48</v>
      </c>
      <c r="F11" s="9" t="s">
        <v>92</v>
      </c>
      <c r="G11" t="s">
        <v>88</v>
      </c>
      <c r="H11" t="s">
        <v>93</v>
      </c>
      <c r="I11" t="s">
        <v>94</v>
      </c>
    </row>
    <row r="12" spans="2:9" x14ac:dyDescent="0.25">
      <c r="B12" s="11" t="s">
        <v>39</v>
      </c>
      <c r="C12" s="30" t="s">
        <v>95</v>
      </c>
      <c r="D12" s="31">
        <v>1.94</v>
      </c>
      <c r="E12" s="31">
        <v>3.89</v>
      </c>
      <c r="F12" s="9" t="s">
        <v>96</v>
      </c>
      <c r="G12" t="s">
        <v>88</v>
      </c>
      <c r="H12" t="s">
        <v>97</v>
      </c>
      <c r="I12" t="s">
        <v>98</v>
      </c>
    </row>
    <row r="13" spans="2:9" x14ac:dyDescent="0.25">
      <c r="B13" s="11" t="s">
        <v>39</v>
      </c>
      <c r="C13" s="30" t="s">
        <v>99</v>
      </c>
      <c r="D13" s="31">
        <v>9.6</v>
      </c>
      <c r="E13" s="31">
        <v>16.8</v>
      </c>
      <c r="F13" s="9" t="s">
        <v>100</v>
      </c>
      <c r="G13" t="s">
        <v>88</v>
      </c>
      <c r="H13" t="s">
        <v>101</v>
      </c>
      <c r="I13" t="s">
        <v>102</v>
      </c>
    </row>
    <row r="14" spans="2:9" x14ac:dyDescent="0.25">
      <c r="B14" s="11" t="s">
        <v>39</v>
      </c>
      <c r="C14" s="30" t="s">
        <v>103</v>
      </c>
      <c r="D14" s="31">
        <v>9.6</v>
      </c>
      <c r="E14" s="31">
        <v>16.8</v>
      </c>
      <c r="F14" s="9" t="s">
        <v>104</v>
      </c>
      <c r="G14" t="s">
        <v>88</v>
      </c>
      <c r="H14" t="s">
        <v>105</v>
      </c>
      <c r="I14" t="s">
        <v>106</v>
      </c>
    </row>
    <row r="16" spans="2:6" x14ac:dyDescent="0.25">
      <c r="B16" s="32" t="s">
        <v>39</v>
      </c>
      <c r="C16" s="32" t="s">
        <v>107</v>
      </c>
      <c r="D16" s="33">
        <f>D9</f>
        <v>27.26</v>
      </c>
      <c r="E16" s="33">
        <f>E9</f>
        <v>49.73</v>
      </c>
      <c r="F16" s="34" t="s">
        <v>39</v>
      </c>
    </row>
    <row r="19" spans="2:9" x14ac:dyDescent="0.25">
      <c r="B19" s="23" t="s">
        <v>80</v>
      </c>
      <c r="C19" s="24" t="s">
        <v>108</v>
      </c>
      <c r="D19" s="25" t="s">
        <v>13</v>
      </c>
      <c r="E19" s="25" t="s">
        <v>14</v>
      </c>
      <c r="F19" s="23" t="s">
        <v>15</v>
      </c>
      <c r="G19" s="23" t="s">
        <v>82</v>
      </c>
      <c r="H19" s="23" t="s">
        <v>83</v>
      </c>
      <c r="I19" s="23" t="s">
        <v>84</v>
      </c>
    </row>
    <row r="20" spans="2:6" x14ac:dyDescent="0.25">
      <c r="B20" s="11">
        <v>1</v>
      </c>
      <c r="C20" s="30" t="s">
        <v>109</v>
      </c>
      <c r="D20" s="31">
        <v>0</v>
      </c>
      <c r="E20" s="31">
        <v>0</v>
      </c>
      <c r="F20" s="9" t="s">
        <v>39</v>
      </c>
    </row>
    <row r="21" spans="2:6" x14ac:dyDescent="0.25">
      <c r="B21" s="32" t="s">
        <v>39</v>
      </c>
      <c r="C21" s="32" t="s">
        <v>110</v>
      </c>
      <c r="D21" s="33">
        <f>SUM(D20:D20)</f>
        <v>0</v>
      </c>
      <c r="E21" s="33">
        <f>SUM(E20:E20)</f>
        <v>0</v>
      </c>
      <c r="F21" s="34" t="s">
        <v>39</v>
      </c>
    </row>
    <row r="24" spans="2:9" x14ac:dyDescent="0.25">
      <c r="B24" s="23" t="s">
        <v>80</v>
      </c>
      <c r="C24" s="24" t="s">
        <v>111</v>
      </c>
      <c r="D24" s="25" t="s">
        <v>13</v>
      </c>
      <c r="E24" s="25" t="s">
        <v>14</v>
      </c>
      <c r="F24" s="23" t="s">
        <v>15</v>
      </c>
      <c r="G24" s="23" t="s">
        <v>82</v>
      </c>
      <c r="H24" s="23" t="s">
        <v>83</v>
      </c>
      <c r="I24" s="23" t="s">
        <v>84</v>
      </c>
    </row>
    <row r="25" spans="2:6" x14ac:dyDescent="0.25">
      <c r="B25" s="11">
        <v>1</v>
      </c>
      <c r="C25" s="30" t="s">
        <v>109</v>
      </c>
      <c r="D25" s="31">
        <v>0</v>
      </c>
      <c r="E25" s="31">
        <v>0</v>
      </c>
      <c r="F25" s="9" t="s">
        <v>112</v>
      </c>
    </row>
    <row r="26" spans="2:6" x14ac:dyDescent="0.25">
      <c r="B26" s="32" t="s">
        <v>39</v>
      </c>
      <c r="C26" s="32" t="s">
        <v>113</v>
      </c>
      <c r="D26" s="33">
        <f>SUM(D25:D25)</f>
        <v>0</v>
      </c>
      <c r="E26" s="33">
        <f>SUM(E25:E25)</f>
        <v>0</v>
      </c>
      <c r="F26" s="34" t="s">
        <v>39</v>
      </c>
    </row>
    <row r="29" spans="2:6" x14ac:dyDescent="0.25">
      <c r="B29" s="23" t="s">
        <v>80</v>
      </c>
      <c r="C29" s="24" t="s">
        <v>114</v>
      </c>
      <c r="D29" s="24"/>
      <c r="E29" s="24"/>
      <c r="F29" s="24"/>
    </row>
    <row r="30" spans="2:6" x14ac:dyDescent="0.25">
      <c r="B30" s="11">
        <v>1</v>
      </c>
      <c r="C30" s="30" t="s">
        <v>70</v>
      </c>
      <c r="D30" s="30"/>
      <c r="E30" s="30"/>
      <c r="F30" s="30"/>
    </row>
    <row r="31" spans="2:6" x14ac:dyDescent="0.25">
      <c r="B31" s="11">
        <v>2</v>
      </c>
      <c r="C31" s="30" t="s">
        <v>71</v>
      </c>
      <c r="D31" s="30"/>
      <c r="E31" s="30"/>
      <c r="F31" s="30"/>
    </row>
    <row r="32" spans="2:6" x14ac:dyDescent="0.25">
      <c r="B32" s="11">
        <v>3</v>
      </c>
      <c r="C32" s="30" t="s">
        <v>72</v>
      </c>
      <c r="D32" s="30"/>
      <c r="E32" s="30"/>
      <c r="F32" s="30"/>
    </row>
    <row r="33" spans="2:6" x14ac:dyDescent="0.25">
      <c r="B33" s="11">
        <v>4</v>
      </c>
      <c r="C33" s="30" t="s">
        <v>73</v>
      </c>
      <c r="D33" s="30"/>
      <c r="E33" s="30"/>
      <c r="F33" s="30"/>
    </row>
    <row r="34" spans="2:6" x14ac:dyDescent="0.25">
      <c r="B34" s="11">
        <v>5</v>
      </c>
      <c r="C34" s="30" t="s">
        <v>74</v>
      </c>
      <c r="D34" s="30"/>
      <c r="E34" s="30"/>
      <c r="F34" s="30"/>
    </row>
    <row r="35" spans="2:6" x14ac:dyDescent="0.25">
      <c r="B35" s="11">
        <v>6</v>
      </c>
      <c r="C35" s="30" t="s">
        <v>75</v>
      </c>
      <c r="D35" s="30"/>
      <c r="E35" s="30"/>
      <c r="F35" s="30"/>
    </row>
    <row r="38" spans="2:6" x14ac:dyDescent="0.25">
      <c r="B38" s="23" t="s">
        <v>80</v>
      </c>
      <c r="C38" s="24" t="s">
        <v>115</v>
      </c>
      <c r="D38" s="24"/>
      <c r="E38" s="24"/>
      <c r="F38" s="24"/>
    </row>
    <row r="39" spans="2:6" x14ac:dyDescent="0.25">
      <c r="B39" s="11">
        <v>1</v>
      </c>
      <c r="C39" s="30" t="s">
        <v>116</v>
      </c>
      <c r="D39" s="30"/>
      <c r="E39" s="30"/>
      <c r="F39" s="30"/>
    </row>
  </sheetData>
  <mergeCells count="12">
    <mergeCell ref="B2:F2"/>
    <mergeCell ref="B3:F3"/>
    <mergeCell ref="B4:F4"/>
    <mergeCell ref="C29:F29"/>
    <mergeCell ref="C30:F30"/>
    <mergeCell ref="C31:F31"/>
    <mergeCell ref="C32:F32"/>
    <mergeCell ref="C33:F33"/>
    <mergeCell ref="C34:F34"/>
    <mergeCell ref="C35:F35"/>
    <mergeCell ref="C38:F38"/>
    <mergeCell ref="C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76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5" spans="2:2" x14ac:dyDescent="0.25">
      <c r="B5" s="35" t="s">
        <v>117</v>
      </c>
    </row>
    <row r="6" spans="3:6" x14ac:dyDescent="0.25">
      <c r="C6" s="20" t="s">
        <v>78</v>
      </c>
      <c r="D6" s="21">
        <f>D11+D16+D21</f>
        <v>0</v>
      </c>
      <c r="E6" s="21">
        <f>E11+E16+E21</f>
        <v>0</v>
      </c>
      <c r="F6" s="22" t="s">
        <v>79</v>
      </c>
    </row>
    <row r="8" spans="2:9" x14ac:dyDescent="0.25">
      <c r="B8" s="23" t="s">
        <v>80</v>
      </c>
      <c r="C8" s="24" t="s">
        <v>81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3:5" x14ac:dyDescent="0.25">
      <c r="C9" s="30" t="s">
        <v>109</v>
      </c>
      <c r="D9" s="31">
        <v>0</v>
      </c>
      <c r="E9" s="31">
        <v>0</v>
      </c>
    </row>
    <row r="11" spans="2:6" x14ac:dyDescent="0.25">
      <c r="B11" s="32" t="s">
        <v>39</v>
      </c>
      <c r="C11" s="32" t="s">
        <v>107</v>
      </c>
      <c r="D11" s="33">
        <f>D9</f>
        <v>0</v>
      </c>
      <c r="E11" s="33">
        <f>E9</f>
        <v>0</v>
      </c>
      <c r="F11" s="34" t="s">
        <v>39</v>
      </c>
    </row>
    <row r="14" spans="2:9" x14ac:dyDescent="0.25">
      <c r="B14" s="23" t="s">
        <v>80</v>
      </c>
      <c r="C14" s="24" t="s">
        <v>108</v>
      </c>
      <c r="D14" s="25" t="s">
        <v>13</v>
      </c>
      <c r="E14" s="25" t="s">
        <v>14</v>
      </c>
      <c r="F14" s="23" t="s">
        <v>15</v>
      </c>
      <c r="G14" s="23" t="s">
        <v>82</v>
      </c>
      <c r="H14" s="23" t="s">
        <v>83</v>
      </c>
      <c r="I14" s="23" t="s">
        <v>84</v>
      </c>
    </row>
    <row r="15" spans="2:6" x14ac:dyDescent="0.25">
      <c r="B15" s="11">
        <v>1</v>
      </c>
      <c r="C15" s="30" t="s">
        <v>109</v>
      </c>
      <c r="D15" s="31">
        <v>0</v>
      </c>
      <c r="E15" s="31">
        <v>0</v>
      </c>
      <c r="F15" s="9" t="s">
        <v>39</v>
      </c>
    </row>
    <row r="16" spans="2:6" x14ac:dyDescent="0.25">
      <c r="B16" s="32" t="s">
        <v>39</v>
      </c>
      <c r="C16" s="32" t="s">
        <v>110</v>
      </c>
      <c r="D16" s="33">
        <f>SUM(D15:D15)</f>
        <v>0</v>
      </c>
      <c r="E16" s="33">
        <f>SUM(E15:E15)</f>
        <v>0</v>
      </c>
      <c r="F16" s="34" t="s">
        <v>39</v>
      </c>
    </row>
    <row r="19" spans="2:9" x14ac:dyDescent="0.25">
      <c r="B19" s="23" t="s">
        <v>80</v>
      </c>
      <c r="C19" s="24" t="s">
        <v>111</v>
      </c>
      <c r="D19" s="25" t="s">
        <v>13</v>
      </c>
      <c r="E19" s="25" t="s">
        <v>14</v>
      </c>
      <c r="F19" s="23" t="s">
        <v>15</v>
      </c>
      <c r="G19" s="23" t="s">
        <v>82</v>
      </c>
      <c r="H19" s="23" t="s">
        <v>83</v>
      </c>
      <c r="I19" s="23" t="s">
        <v>84</v>
      </c>
    </row>
    <row r="20" spans="2:6" x14ac:dyDescent="0.25">
      <c r="B20" s="11">
        <v>1</v>
      </c>
      <c r="C20" s="30" t="s">
        <v>109</v>
      </c>
      <c r="D20" s="31">
        <v>0</v>
      </c>
      <c r="E20" s="31">
        <v>0</v>
      </c>
      <c r="F20" s="9" t="s">
        <v>112</v>
      </c>
    </row>
    <row r="21" spans="2:6" x14ac:dyDescent="0.25">
      <c r="B21" s="32" t="s">
        <v>39</v>
      </c>
      <c r="C21" s="32" t="s">
        <v>113</v>
      </c>
      <c r="D21" s="33">
        <f>SUM(D20:D20)</f>
        <v>0</v>
      </c>
      <c r="E21" s="33">
        <f>SUM(E20:E20)</f>
        <v>0</v>
      </c>
      <c r="F21" s="34" t="s">
        <v>39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76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6" spans="3:6" x14ac:dyDescent="0.25">
      <c r="C6" s="20" t="s">
        <v>78</v>
      </c>
      <c r="D6" s="21">
        <f>D19+D24+D29</f>
        <v>35.26</v>
      </c>
      <c r="E6" s="21">
        <f>E19+E24+E29</f>
        <v>59.28</v>
      </c>
      <c r="F6" s="22" t="s">
        <v>79</v>
      </c>
    </row>
    <row r="8" spans="2:9" x14ac:dyDescent="0.25">
      <c r="B8" s="23" t="s">
        <v>80</v>
      </c>
      <c r="C8" s="24" t="s">
        <v>81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2:6" x14ac:dyDescent="0.25">
      <c r="B9" s="26">
        <v>1</v>
      </c>
      <c r="C9" s="27" t="s">
        <v>118</v>
      </c>
      <c r="D9" s="28">
        <f>SUM(D10:D11)</f>
        <v>14.98</v>
      </c>
      <c r="E9" s="28">
        <f>SUM(E10:E11)</f>
        <v>24.96</v>
      </c>
      <c r="F9" s="29" t="s">
        <v>39</v>
      </c>
    </row>
    <row r="10" spans="2:9" x14ac:dyDescent="0.25">
      <c r="B10" s="11" t="s">
        <v>39</v>
      </c>
      <c r="C10" s="30" t="s">
        <v>119</v>
      </c>
      <c r="D10" s="31">
        <v>9.36</v>
      </c>
      <c r="E10" s="31">
        <v>15.6</v>
      </c>
      <c r="F10" s="9" t="s">
        <v>120</v>
      </c>
      <c r="G10" t="s">
        <v>88</v>
      </c>
      <c r="H10" t="s">
        <v>121</v>
      </c>
      <c r="I10" t="s">
        <v>122</v>
      </c>
    </row>
    <row r="11" spans="2:9" x14ac:dyDescent="0.25">
      <c r="B11" s="11" t="s">
        <v>39</v>
      </c>
      <c r="C11" s="30" t="s">
        <v>123</v>
      </c>
      <c r="D11" s="31">
        <v>5.62</v>
      </c>
      <c r="E11" s="31">
        <v>9.36</v>
      </c>
      <c r="F11" s="9" t="s">
        <v>124</v>
      </c>
      <c r="G11" t="s">
        <v>88</v>
      </c>
      <c r="H11" t="s">
        <v>125</v>
      </c>
      <c r="I11" t="s">
        <v>126</v>
      </c>
    </row>
    <row r="13" spans="2:6" x14ac:dyDescent="0.25">
      <c r="B13" s="26">
        <v>2</v>
      </c>
      <c r="C13" s="27" t="s">
        <v>127</v>
      </c>
      <c r="D13" s="28">
        <f>SUM(D14:D14)</f>
        <v>7.8</v>
      </c>
      <c r="E13" s="28">
        <f>SUM(E14:E14)</f>
        <v>12.48</v>
      </c>
      <c r="F13" s="29" t="s">
        <v>39</v>
      </c>
    </row>
    <row r="14" spans="2:9" x14ac:dyDescent="0.25">
      <c r="B14" s="11" t="s">
        <v>39</v>
      </c>
      <c r="C14" s="30" t="s">
        <v>128</v>
      </c>
      <c r="D14" s="31">
        <v>7.8</v>
      </c>
      <c r="E14" s="31">
        <v>12.48</v>
      </c>
      <c r="F14" s="9" t="s">
        <v>129</v>
      </c>
      <c r="G14" t="s">
        <v>88</v>
      </c>
      <c r="H14" t="s">
        <v>130</v>
      </c>
      <c r="I14" t="s">
        <v>131</v>
      </c>
    </row>
    <row r="16" spans="2:6" x14ac:dyDescent="0.25">
      <c r="B16" s="26">
        <v>3</v>
      </c>
      <c r="C16" s="27" t="s">
        <v>132</v>
      </c>
      <c r="D16" s="28">
        <f>SUM(D17:D17)</f>
        <v>12.48</v>
      </c>
      <c r="E16" s="28">
        <f>SUM(E17:E17)</f>
        <v>21.84</v>
      </c>
      <c r="F16" s="29" t="s">
        <v>39</v>
      </c>
    </row>
    <row r="17" spans="2:9" x14ac:dyDescent="0.25">
      <c r="B17" s="11" t="s">
        <v>39</v>
      </c>
      <c r="C17" s="30" t="s">
        <v>133</v>
      </c>
      <c r="D17" s="31">
        <v>12.48</v>
      </c>
      <c r="E17" s="31">
        <v>21.84</v>
      </c>
      <c r="F17" s="9" t="s">
        <v>134</v>
      </c>
      <c r="G17" t="s">
        <v>88</v>
      </c>
      <c r="H17" t="s">
        <v>135</v>
      </c>
      <c r="I17" t="s">
        <v>136</v>
      </c>
    </row>
    <row r="19" spans="2:6" x14ac:dyDescent="0.25">
      <c r="B19" s="32" t="s">
        <v>39</v>
      </c>
      <c r="C19" s="32" t="s">
        <v>107</v>
      </c>
      <c r="D19" s="33">
        <f>D9+D13+D16</f>
        <v>35.26</v>
      </c>
      <c r="E19" s="33">
        <f>E9+E13+E16</f>
        <v>59.28</v>
      </c>
      <c r="F19" s="34" t="s">
        <v>39</v>
      </c>
    </row>
    <row r="22" spans="2:9" x14ac:dyDescent="0.25">
      <c r="B22" s="23" t="s">
        <v>80</v>
      </c>
      <c r="C22" s="24" t="s">
        <v>108</v>
      </c>
      <c r="D22" s="25" t="s">
        <v>13</v>
      </c>
      <c r="E22" s="25" t="s">
        <v>14</v>
      </c>
      <c r="F22" s="23" t="s">
        <v>15</v>
      </c>
      <c r="G22" s="23" t="s">
        <v>82</v>
      </c>
      <c r="H22" s="23" t="s">
        <v>83</v>
      </c>
      <c r="I22" s="23" t="s">
        <v>84</v>
      </c>
    </row>
    <row r="23" spans="2:6" x14ac:dyDescent="0.25">
      <c r="B23" s="11">
        <v>1</v>
      </c>
      <c r="C23" s="30" t="s">
        <v>109</v>
      </c>
      <c r="D23" s="31">
        <v>0</v>
      </c>
      <c r="E23" s="31">
        <v>0</v>
      </c>
      <c r="F23" s="9" t="s">
        <v>39</v>
      </c>
    </row>
    <row r="24" spans="2:6" x14ac:dyDescent="0.25">
      <c r="B24" s="32" t="s">
        <v>39</v>
      </c>
      <c r="C24" s="32" t="s">
        <v>110</v>
      </c>
      <c r="D24" s="33">
        <f>SUM(D23:D23)</f>
        <v>0</v>
      </c>
      <c r="E24" s="33">
        <f>SUM(E23:E23)</f>
        <v>0</v>
      </c>
      <c r="F24" s="34" t="s">
        <v>39</v>
      </c>
    </row>
    <row r="27" spans="2:9" x14ac:dyDescent="0.25">
      <c r="B27" s="23" t="s">
        <v>80</v>
      </c>
      <c r="C27" s="24" t="s">
        <v>111</v>
      </c>
      <c r="D27" s="25" t="s">
        <v>13</v>
      </c>
      <c r="E27" s="25" t="s">
        <v>14</v>
      </c>
      <c r="F27" s="23" t="s">
        <v>15</v>
      </c>
      <c r="G27" s="23" t="s">
        <v>82</v>
      </c>
      <c r="H27" s="23" t="s">
        <v>83</v>
      </c>
      <c r="I27" s="23" t="s">
        <v>84</v>
      </c>
    </row>
    <row r="28" spans="2:6" x14ac:dyDescent="0.25">
      <c r="B28" s="11">
        <v>1</v>
      </c>
      <c r="C28" s="30" t="s">
        <v>109</v>
      </c>
      <c r="D28" s="31">
        <v>0</v>
      </c>
      <c r="E28" s="31">
        <v>0</v>
      </c>
      <c r="F28" s="9" t="s">
        <v>112</v>
      </c>
    </row>
    <row r="29" spans="2:6" x14ac:dyDescent="0.25">
      <c r="B29" s="32" t="s">
        <v>39</v>
      </c>
      <c r="C29" s="32" t="s">
        <v>113</v>
      </c>
      <c r="D29" s="33">
        <f>SUM(D28:D28)</f>
        <v>0</v>
      </c>
      <c r="E29" s="33">
        <f>SUM(E28:E28)</f>
        <v>0</v>
      </c>
      <c r="F29" s="34" t="s">
        <v>39</v>
      </c>
    </row>
    <row r="32" spans="2:6" x14ac:dyDescent="0.25">
      <c r="B32" s="23" t="s">
        <v>80</v>
      </c>
      <c r="C32" s="24" t="s">
        <v>114</v>
      </c>
      <c r="D32" s="24"/>
      <c r="E32" s="24"/>
      <c r="F32" s="24"/>
    </row>
    <row r="33" spans="2:6" x14ac:dyDescent="0.25">
      <c r="B33" s="11">
        <v>1</v>
      </c>
      <c r="C33" s="30" t="s">
        <v>70</v>
      </c>
      <c r="D33" s="30"/>
      <c r="E33" s="30"/>
      <c r="F33" s="30"/>
    </row>
    <row r="34" spans="2:6" x14ac:dyDescent="0.25">
      <c r="B34" s="11">
        <v>2</v>
      </c>
      <c r="C34" s="30" t="s">
        <v>71</v>
      </c>
      <c r="D34" s="30"/>
      <c r="E34" s="30"/>
      <c r="F34" s="30"/>
    </row>
    <row r="35" spans="2:6" x14ac:dyDescent="0.25">
      <c r="B35" s="11">
        <v>3</v>
      </c>
      <c r="C35" s="30" t="s">
        <v>72</v>
      </c>
      <c r="D35" s="30"/>
      <c r="E35" s="30"/>
      <c r="F35" s="30"/>
    </row>
    <row r="36" spans="2:6" x14ac:dyDescent="0.25">
      <c r="B36" s="11">
        <v>4</v>
      </c>
      <c r="C36" s="30" t="s">
        <v>73</v>
      </c>
      <c r="D36" s="30"/>
      <c r="E36" s="30"/>
      <c r="F36" s="30"/>
    </row>
    <row r="37" spans="2:6" x14ac:dyDescent="0.25">
      <c r="B37" s="11">
        <v>5</v>
      </c>
      <c r="C37" s="30" t="s">
        <v>74</v>
      </c>
      <c r="D37" s="30"/>
      <c r="E37" s="30"/>
      <c r="F37" s="30"/>
    </row>
    <row r="38" spans="2:6" x14ac:dyDescent="0.25">
      <c r="B38" s="11">
        <v>6</v>
      </c>
      <c r="C38" s="30" t="s">
        <v>75</v>
      </c>
      <c r="D38" s="30"/>
      <c r="E38" s="30"/>
      <c r="F38" s="30"/>
    </row>
    <row r="41" spans="2:6" x14ac:dyDescent="0.25">
      <c r="B41" s="23" t="s">
        <v>80</v>
      </c>
      <c r="C41" s="24" t="s">
        <v>115</v>
      </c>
      <c r="D41" s="24"/>
      <c r="E41" s="24"/>
      <c r="F41" s="24"/>
    </row>
    <row r="42" spans="2:6" x14ac:dyDescent="0.25">
      <c r="B42" s="11">
        <v>1</v>
      </c>
      <c r="C42" s="30" t="s">
        <v>116</v>
      </c>
      <c r="D42" s="30"/>
      <c r="E42" s="30"/>
      <c r="F42" s="30"/>
    </row>
  </sheetData>
  <mergeCells count="12">
    <mergeCell ref="B2:F2"/>
    <mergeCell ref="B3:F3"/>
    <mergeCell ref="B4:F4"/>
    <mergeCell ref="C32:F32"/>
    <mergeCell ref="C33:F33"/>
    <mergeCell ref="C34:F34"/>
    <mergeCell ref="C35:F35"/>
    <mergeCell ref="C36:F36"/>
    <mergeCell ref="C37:F37"/>
    <mergeCell ref="C38:F38"/>
    <mergeCell ref="C41:F41"/>
    <mergeCell ref="C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9"/>
  <sheetFormatPr defaultRowHeight="15" outlineLevelRow="0" outlineLevelCol="0" x14ac:dyDescent="55"/>
  <cols>
    <col min="1" max="2" width="7.75" customWidth="1"/>
    <col min="3" max="3" width="43.25" customWidth="1"/>
    <col min="4" max="5" width="12" customWidth="1"/>
    <col min="6" max="6" width="45.25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137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6" spans="3:6" x14ac:dyDescent="0.25">
      <c r="C6" s="20" t="s">
        <v>138</v>
      </c>
      <c r="D6" s="21">
        <f>D20</f>
        <v>13</v>
      </c>
      <c r="E6" s="21">
        <f>E20</f>
        <v>24.2</v>
      </c>
      <c r="F6" s="22" t="s">
        <v>139</v>
      </c>
    </row>
    <row r="8" spans="2:9" x14ac:dyDescent="0.25">
      <c r="B8" s="23" t="s">
        <v>80</v>
      </c>
      <c r="C8" s="24" t="s">
        <v>140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2:6" x14ac:dyDescent="0.25">
      <c r="B9" s="26">
        <v>1</v>
      </c>
      <c r="C9" s="27" t="s">
        <v>141</v>
      </c>
      <c r="D9" s="28">
        <v>0</v>
      </c>
      <c r="E9" s="28">
        <v>0</v>
      </c>
      <c r="F9" s="29" t="s">
        <v>142</v>
      </c>
    </row>
    <row r="10" spans="2:6" x14ac:dyDescent="0.25">
      <c r="B10" s="26">
        <v>2</v>
      </c>
      <c r="C10" s="27" t="s">
        <v>143</v>
      </c>
      <c r="D10" s="28">
        <v>0</v>
      </c>
      <c r="E10" s="28">
        <v>0</v>
      </c>
      <c r="F10" s="29" t="s">
        <v>144</v>
      </c>
    </row>
    <row r="11" spans="2:6" x14ac:dyDescent="0.25">
      <c r="B11" s="26">
        <v>3</v>
      </c>
      <c r="C11" s="27" t="s">
        <v>145</v>
      </c>
      <c r="D11" s="28">
        <f>SUM(D12:D12)</f>
        <v>3.6</v>
      </c>
      <c r="E11" s="28">
        <f>SUM(E12:E12)</f>
        <v>7.2</v>
      </c>
      <c r="F11" s="29" t="s">
        <v>146</v>
      </c>
    </row>
    <row r="12" spans="2:9" x14ac:dyDescent="0.25">
      <c r="B12" s="11" t="s">
        <v>39</v>
      </c>
      <c r="C12" s="30" t="s">
        <v>147</v>
      </c>
      <c r="D12" s="31">
        <v>3.6</v>
      </c>
      <c r="E12" s="31">
        <v>7.2</v>
      </c>
      <c r="F12" s="9" t="s">
        <v>148</v>
      </c>
      <c r="G12" t="s">
        <v>88</v>
      </c>
      <c r="H12" t="s">
        <v>149</v>
      </c>
      <c r="I12" t="s">
        <v>150</v>
      </c>
    </row>
    <row r="13" spans="2:6" x14ac:dyDescent="0.25">
      <c r="B13" s="26">
        <v>4</v>
      </c>
      <c r="C13" s="27" t="s">
        <v>151</v>
      </c>
      <c r="D13" s="28">
        <f>SUM(D14:D14)</f>
        <v>5.4</v>
      </c>
      <c r="E13" s="28">
        <f>SUM(E14:E14)</f>
        <v>9</v>
      </c>
      <c r="F13" s="29" t="s">
        <v>152</v>
      </c>
    </row>
    <row r="14" spans="3:5" x14ac:dyDescent="0.25">
      <c r="C14" s="30" t="s">
        <v>153</v>
      </c>
      <c r="D14" s="31">
        <f>D26</f>
        <v>5.4</v>
      </c>
      <c r="E14" s="31">
        <f>E26</f>
        <v>9</v>
      </c>
    </row>
    <row r="15" spans="2:6" x14ac:dyDescent="0.25">
      <c r="B15" s="26">
        <v>5</v>
      </c>
      <c r="C15" s="27" t="s">
        <v>154</v>
      </c>
      <c r="D15" s="28">
        <v>0</v>
      </c>
      <c r="E15" s="28">
        <v>0</v>
      </c>
      <c r="F15" s="29" t="s">
        <v>155</v>
      </c>
    </row>
    <row r="16" spans="2:6" x14ac:dyDescent="0.25">
      <c r="B16" s="26">
        <v>6</v>
      </c>
      <c r="C16" s="27" t="s">
        <v>156</v>
      </c>
      <c r="D16" s="28">
        <v>0</v>
      </c>
      <c r="E16" s="28">
        <v>0</v>
      </c>
      <c r="F16" s="29" t="s">
        <v>157</v>
      </c>
    </row>
    <row r="17" spans="2:6" x14ac:dyDescent="0.25">
      <c r="B17" s="26">
        <v>7</v>
      </c>
      <c r="C17" s="27" t="s">
        <v>158</v>
      </c>
      <c r="D17" s="28">
        <f>SUM(D18:D18)</f>
        <v>4</v>
      </c>
      <c r="E17" s="28">
        <f>SUM(E18:E18)</f>
        <v>8</v>
      </c>
      <c r="F17" s="29" t="s">
        <v>159</v>
      </c>
    </row>
    <row r="18" spans="2:9" x14ac:dyDescent="0.25">
      <c r="B18" s="11" t="s">
        <v>39</v>
      </c>
      <c r="C18" s="30" t="s">
        <v>160</v>
      </c>
      <c r="D18" s="31">
        <v>4</v>
      </c>
      <c r="E18" s="31">
        <v>8</v>
      </c>
      <c r="F18" s="9" t="s">
        <v>161</v>
      </c>
      <c r="G18" t="s">
        <v>162</v>
      </c>
      <c r="H18" t="s">
        <v>39</v>
      </c>
      <c r="I18" t="s">
        <v>163</v>
      </c>
    </row>
    <row r="19" spans="2:6" x14ac:dyDescent="0.25">
      <c r="B19" s="26">
        <v>8</v>
      </c>
      <c r="C19" s="27" t="s">
        <v>164</v>
      </c>
      <c r="D19" s="28">
        <v>0</v>
      </c>
      <c r="E19" s="28">
        <v>0</v>
      </c>
      <c r="F19" s="29" t="s">
        <v>165</v>
      </c>
    </row>
    <row r="20" spans="2:6" x14ac:dyDescent="0.25">
      <c r="B20" s="32" t="s">
        <v>39</v>
      </c>
      <c r="C20" s="32" t="s">
        <v>166</v>
      </c>
      <c r="D20" s="33">
        <f>D9+D10+D11+D13+D15+D16+D17+D19</f>
        <v>13</v>
      </c>
      <c r="E20" s="33">
        <f>E9+E10+E11+E13+E15+E16+E17+E19</f>
        <v>24.2</v>
      </c>
      <c r="F20" s="34" t="s">
        <v>167</v>
      </c>
    </row>
    <row r="23" spans="2:9" x14ac:dyDescent="0.25">
      <c r="B23" s="23" t="s">
        <v>80</v>
      </c>
      <c r="C23" s="24" t="s">
        <v>168</v>
      </c>
      <c r="D23" s="25" t="s">
        <v>13</v>
      </c>
      <c r="E23" s="25" t="s">
        <v>14</v>
      </c>
      <c r="F23" s="23" t="s">
        <v>15</v>
      </c>
      <c r="G23" s="23" t="s">
        <v>82</v>
      </c>
      <c r="H23" s="23" t="s">
        <v>83</v>
      </c>
      <c r="I23" s="23" t="s">
        <v>84</v>
      </c>
    </row>
    <row r="24" spans="3:3" x14ac:dyDescent="0.25">
      <c r="C24" s="27" t="s">
        <v>153</v>
      </c>
    </row>
    <row r="25" spans="2:9" x14ac:dyDescent="0.25">
      <c r="B25" s="11">
        <v>1</v>
      </c>
      <c r="C25" s="30" t="s">
        <v>169</v>
      </c>
      <c r="D25" s="31">
        <v>5.4</v>
      </c>
      <c r="E25" s="31">
        <v>9</v>
      </c>
      <c r="F25" s="9" t="s">
        <v>170</v>
      </c>
      <c r="G25" t="s">
        <v>88</v>
      </c>
      <c r="H25" t="s">
        <v>149</v>
      </c>
      <c r="I25" t="s">
        <v>171</v>
      </c>
    </row>
    <row r="26" spans="2:6" x14ac:dyDescent="0.25">
      <c r="B26" s="32" t="s">
        <v>39</v>
      </c>
      <c r="C26" s="32" t="s">
        <v>172</v>
      </c>
      <c r="D26" s="33">
        <f>D25</f>
        <v>5.4</v>
      </c>
      <c r="E26" s="33">
        <f>E25</f>
        <v>9</v>
      </c>
      <c r="F26" s="34" t="s">
        <v>173</v>
      </c>
    </row>
    <row r="29" spans="2:6" x14ac:dyDescent="0.25">
      <c r="B29" s="23" t="s">
        <v>80</v>
      </c>
      <c r="C29" s="24" t="s">
        <v>114</v>
      </c>
      <c r="D29" s="24"/>
      <c r="E29" s="24"/>
      <c r="F29" s="24"/>
    </row>
    <row r="30" spans="2:6" x14ac:dyDescent="0.25">
      <c r="B30" s="11">
        <v>1</v>
      </c>
      <c r="C30" s="30" t="s">
        <v>70</v>
      </c>
      <c r="D30" s="30"/>
      <c r="E30" s="30"/>
      <c r="F30" s="30"/>
    </row>
    <row r="31" spans="2:6" x14ac:dyDescent="0.25">
      <c r="B31" s="11">
        <v>2</v>
      </c>
      <c r="C31" s="30" t="s">
        <v>71</v>
      </c>
      <c r="D31" s="30"/>
      <c r="E31" s="30"/>
      <c r="F31" s="30"/>
    </row>
    <row r="32" spans="2:6" x14ac:dyDescent="0.25">
      <c r="B32" s="11">
        <v>3</v>
      </c>
      <c r="C32" s="30" t="s">
        <v>72</v>
      </c>
      <c r="D32" s="30"/>
      <c r="E32" s="30"/>
      <c r="F32" s="30"/>
    </row>
    <row r="33" spans="2:6" x14ac:dyDescent="0.25">
      <c r="B33" s="11">
        <v>4</v>
      </c>
      <c r="C33" s="30" t="s">
        <v>73</v>
      </c>
      <c r="D33" s="30"/>
      <c r="E33" s="30"/>
      <c r="F33" s="30"/>
    </row>
    <row r="34" spans="2:6" x14ac:dyDescent="0.25">
      <c r="B34" s="11">
        <v>5</v>
      </c>
      <c r="C34" s="30" t="s">
        <v>74</v>
      </c>
      <c r="D34" s="30"/>
      <c r="E34" s="30"/>
      <c r="F34" s="30"/>
    </row>
    <row r="35" spans="2:6" x14ac:dyDescent="0.25">
      <c r="B35" s="11">
        <v>6</v>
      </c>
      <c r="C35" s="30" t="s">
        <v>75</v>
      </c>
      <c r="D35" s="30"/>
      <c r="E35" s="30"/>
      <c r="F35" s="30"/>
    </row>
    <row r="38" spans="2:6" x14ac:dyDescent="0.25">
      <c r="B38" s="23" t="s">
        <v>80</v>
      </c>
      <c r="C38" s="24" t="s">
        <v>115</v>
      </c>
      <c r="D38" s="24"/>
      <c r="E38" s="24"/>
      <c r="F38" s="24"/>
    </row>
    <row r="39" spans="2:6" x14ac:dyDescent="0.25">
      <c r="B39" s="11">
        <v>1</v>
      </c>
      <c r="C39" s="30" t="s">
        <v>116</v>
      </c>
      <c r="D39" s="30"/>
      <c r="E39" s="30"/>
      <c r="F39" s="30"/>
    </row>
  </sheetData>
  <mergeCells count="12">
    <mergeCell ref="B2:F2"/>
    <mergeCell ref="B3:F3"/>
    <mergeCell ref="B4:F4"/>
    <mergeCell ref="C29:F29"/>
    <mergeCell ref="C30:F30"/>
    <mergeCell ref="C31:F31"/>
    <mergeCell ref="C32:F32"/>
    <mergeCell ref="C33:F33"/>
    <mergeCell ref="C34:F34"/>
    <mergeCell ref="C35:F35"/>
    <mergeCell ref="C38:F38"/>
    <mergeCell ref="C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174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5" spans="2:2" x14ac:dyDescent="0.25">
      <c r="B5" s="35" t="s">
        <v>117</v>
      </c>
    </row>
    <row r="6" spans="3:6" x14ac:dyDescent="0.25">
      <c r="C6" s="20" t="s">
        <v>78</v>
      </c>
      <c r="D6" s="21">
        <f>D11+D16+D21</f>
        <v>0</v>
      </c>
      <c r="E6" s="21">
        <f>E11+E16+E21</f>
        <v>0</v>
      </c>
      <c r="F6" s="22" t="s">
        <v>79</v>
      </c>
    </row>
    <row r="8" spans="2:9" x14ac:dyDescent="0.25">
      <c r="B8" s="23" t="s">
        <v>80</v>
      </c>
      <c r="C8" s="24" t="s">
        <v>81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3:5" x14ac:dyDescent="0.25">
      <c r="C9" s="30" t="s">
        <v>109</v>
      </c>
      <c r="D9" s="31">
        <v>0</v>
      </c>
      <c r="E9" s="31">
        <v>0</v>
      </c>
    </row>
    <row r="11" spans="2:6" x14ac:dyDescent="0.25">
      <c r="B11" s="32" t="s">
        <v>39</v>
      </c>
      <c r="C11" s="32" t="s">
        <v>107</v>
      </c>
      <c r="D11" s="33">
        <f>D9</f>
        <v>0</v>
      </c>
      <c r="E11" s="33">
        <f>E9</f>
        <v>0</v>
      </c>
      <c r="F11" s="34" t="s">
        <v>39</v>
      </c>
    </row>
    <row r="14" spans="2:9" x14ac:dyDescent="0.25">
      <c r="B14" s="23" t="s">
        <v>80</v>
      </c>
      <c r="C14" s="24" t="s">
        <v>108</v>
      </c>
      <c r="D14" s="25" t="s">
        <v>13</v>
      </c>
      <c r="E14" s="25" t="s">
        <v>14</v>
      </c>
      <c r="F14" s="23" t="s">
        <v>15</v>
      </c>
      <c r="G14" s="23" t="s">
        <v>82</v>
      </c>
      <c r="H14" s="23" t="s">
        <v>83</v>
      </c>
      <c r="I14" s="23" t="s">
        <v>84</v>
      </c>
    </row>
    <row r="15" spans="2:6" x14ac:dyDescent="0.25">
      <c r="B15" s="11">
        <v>1</v>
      </c>
      <c r="C15" s="30" t="s">
        <v>109</v>
      </c>
      <c r="D15" s="31">
        <v>0</v>
      </c>
      <c r="E15" s="31">
        <v>0</v>
      </c>
      <c r="F15" s="9" t="s">
        <v>39</v>
      </c>
    </row>
    <row r="16" spans="2:6" x14ac:dyDescent="0.25">
      <c r="B16" s="32" t="s">
        <v>39</v>
      </c>
      <c r="C16" s="32" t="s">
        <v>110</v>
      </c>
      <c r="D16" s="33">
        <f>SUM(D15:D15)</f>
        <v>0</v>
      </c>
      <c r="E16" s="33">
        <f>SUM(E15:E15)</f>
        <v>0</v>
      </c>
      <c r="F16" s="34" t="s">
        <v>39</v>
      </c>
    </row>
    <row r="19" spans="2:9" x14ac:dyDescent="0.25">
      <c r="B19" s="23" t="s">
        <v>80</v>
      </c>
      <c r="C19" s="24" t="s">
        <v>111</v>
      </c>
      <c r="D19" s="25" t="s">
        <v>13</v>
      </c>
      <c r="E19" s="25" t="s">
        <v>14</v>
      </c>
      <c r="F19" s="23" t="s">
        <v>15</v>
      </c>
      <c r="G19" s="23" t="s">
        <v>82</v>
      </c>
      <c r="H19" s="23" t="s">
        <v>83</v>
      </c>
      <c r="I19" s="23" t="s">
        <v>84</v>
      </c>
    </row>
    <row r="20" spans="2:6" x14ac:dyDescent="0.25">
      <c r="B20" s="11">
        <v>1</v>
      </c>
      <c r="C20" s="30" t="s">
        <v>109</v>
      </c>
      <c r="D20" s="31">
        <v>0</v>
      </c>
      <c r="E20" s="31">
        <v>0</v>
      </c>
      <c r="F20" s="9" t="s">
        <v>112</v>
      </c>
    </row>
    <row r="21" spans="2:6" x14ac:dyDescent="0.25">
      <c r="B21" s="32" t="s">
        <v>39</v>
      </c>
      <c r="C21" s="32" t="s">
        <v>113</v>
      </c>
      <c r="D21" s="33">
        <f>SUM(D20:D20)</f>
        <v>0</v>
      </c>
      <c r="E21" s="33">
        <f>SUM(E20:E20)</f>
        <v>0</v>
      </c>
      <c r="F21" s="34" t="s">
        <v>39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7" t="s">
        <v>175</v>
      </c>
      <c r="C2" s="17"/>
      <c r="D2" s="17"/>
      <c r="E2" s="17"/>
      <c r="F2" s="17"/>
    </row>
    <row r="3" spans="2:6" x14ac:dyDescent="0.25">
      <c r="B3" s="18" t="s">
        <v>8</v>
      </c>
      <c r="C3" s="18"/>
      <c r="D3" s="18"/>
      <c r="E3" s="18"/>
      <c r="F3" s="18"/>
    </row>
    <row r="4" spans="2:6" x14ac:dyDescent="0.25">
      <c r="B4" s="19" t="s">
        <v>77</v>
      </c>
      <c r="C4" s="19"/>
      <c r="D4" s="19"/>
      <c r="E4" s="19"/>
      <c r="F4" s="19"/>
    </row>
    <row r="6" spans="2:2" x14ac:dyDescent="0.25">
      <c r="B6" s="27" t="s">
        <v>176</v>
      </c>
    </row>
    <row r="7" spans="2:2" x14ac:dyDescent="0.25">
      <c r="B7" s="35" t="s">
        <v>117</v>
      </c>
    </row>
    <row r="8" spans="2:9" x14ac:dyDescent="0.25">
      <c r="B8" s="23" t="s">
        <v>80</v>
      </c>
      <c r="C8" s="24" t="s">
        <v>81</v>
      </c>
      <c r="D8" s="25" t="s">
        <v>13</v>
      </c>
      <c r="E8" s="25" t="s">
        <v>14</v>
      </c>
      <c r="F8" s="23" t="s">
        <v>15</v>
      </c>
      <c r="G8" s="23" t="s">
        <v>82</v>
      </c>
      <c r="H8" s="23" t="s">
        <v>83</v>
      </c>
      <c r="I8" s="23" t="s">
        <v>84</v>
      </c>
    </row>
    <row r="9" spans="2:9" x14ac:dyDescent="0.25">
      <c r="B9" s="11">
        <v>1</v>
      </c>
      <c r="C9" s="30" t="s">
        <v>109</v>
      </c>
      <c r="D9" s="31">
        <v>0</v>
      </c>
      <c r="E9" s="31">
        <v>0</v>
      </c>
      <c r="F9" s="9" t="s">
        <v>39</v>
      </c>
      <c r="G9" t="s">
        <v>39</v>
      </c>
      <c r="H9" t="s">
        <v>39</v>
      </c>
      <c r="I9" t="s">
        <v>39</v>
      </c>
    </row>
    <row r="10" spans="3:5" x14ac:dyDescent="0.25">
      <c r="C10" s="32" t="s">
        <v>177</v>
      </c>
      <c r="D10" s="33">
        <f>SUM(D9:D9)</f>
        <v>0</v>
      </c>
      <c r="E10" s="33">
        <f>SUM(E9:E9)</f>
        <v>0</v>
      </c>
    </row>
    <row r="13" spans="2:2" x14ac:dyDescent="0.25">
      <c r="B13" s="27" t="s">
        <v>178</v>
      </c>
    </row>
    <row r="14" spans="2:9" x14ac:dyDescent="0.25">
      <c r="B14" s="23" t="s">
        <v>80</v>
      </c>
      <c r="C14" s="24" t="s">
        <v>81</v>
      </c>
      <c r="D14" s="25" t="s">
        <v>13</v>
      </c>
      <c r="E14" s="25" t="s">
        <v>14</v>
      </c>
      <c r="F14" s="23" t="s">
        <v>15</v>
      </c>
      <c r="G14" s="23" t="s">
        <v>82</v>
      </c>
      <c r="H14" s="23" t="s">
        <v>83</v>
      </c>
      <c r="I14" s="23" t="s">
        <v>84</v>
      </c>
    </row>
    <row r="15" spans="2:9" x14ac:dyDescent="0.25">
      <c r="B15" s="11">
        <v>1</v>
      </c>
      <c r="C15" s="30" t="s">
        <v>179</v>
      </c>
      <c r="D15" s="31">
        <v>4</v>
      </c>
      <c r="E15" s="31">
        <v>8</v>
      </c>
      <c r="F15" s="9" t="s">
        <v>180</v>
      </c>
      <c r="G15" t="s">
        <v>162</v>
      </c>
      <c r="H15" t="s">
        <v>39</v>
      </c>
      <c r="I15" t="s">
        <v>181</v>
      </c>
    </row>
    <row r="16" spans="3:5" x14ac:dyDescent="0.25">
      <c r="C16" s="32" t="s">
        <v>182</v>
      </c>
      <c r="D16" s="33">
        <f>SUM(D15:D15)</f>
        <v>4</v>
      </c>
      <c r="E16" s="33">
        <f>SUM(E15:E15)</f>
        <v>8</v>
      </c>
    </row>
    <row r="19" spans="2:2" x14ac:dyDescent="0.25">
      <c r="B19" s="27" t="s">
        <v>183</v>
      </c>
    </row>
    <row r="20" spans="2:2" x14ac:dyDescent="0.25">
      <c r="B20" s="35" t="s">
        <v>117</v>
      </c>
    </row>
    <row r="21" spans="2:9" x14ac:dyDescent="0.25">
      <c r="B21" s="23" t="s">
        <v>80</v>
      </c>
      <c r="C21" s="24" t="s">
        <v>81</v>
      </c>
      <c r="D21" s="25" t="s">
        <v>13</v>
      </c>
      <c r="E21" s="25" t="s">
        <v>14</v>
      </c>
      <c r="F21" s="23" t="s">
        <v>15</v>
      </c>
      <c r="G21" s="23" t="s">
        <v>82</v>
      </c>
      <c r="H21" s="23" t="s">
        <v>83</v>
      </c>
      <c r="I21" s="23" t="s">
        <v>84</v>
      </c>
    </row>
    <row r="22" spans="2:9" x14ac:dyDescent="0.25">
      <c r="B22" s="11">
        <v>1</v>
      </c>
      <c r="C22" s="30" t="s">
        <v>109</v>
      </c>
      <c r="D22" s="31">
        <v>0</v>
      </c>
      <c r="E22" s="31">
        <v>0</v>
      </c>
      <c r="F22" s="9" t="s">
        <v>39</v>
      </c>
      <c r="G22" t="s">
        <v>39</v>
      </c>
      <c r="H22" t="s">
        <v>39</v>
      </c>
      <c r="I22" t="s">
        <v>39</v>
      </c>
    </row>
    <row r="23" spans="3:5" x14ac:dyDescent="0.25">
      <c r="C23" s="32" t="s">
        <v>184</v>
      </c>
      <c r="D23" s="33">
        <f>SUM(D22:D22)</f>
        <v>0</v>
      </c>
      <c r="E23" s="33">
        <f>SUM(E22:E22)</f>
        <v>0</v>
      </c>
    </row>
    <row r="26" spans="2:2" x14ac:dyDescent="0.25">
      <c r="B26" s="27" t="s">
        <v>185</v>
      </c>
    </row>
    <row r="27" spans="2:9" x14ac:dyDescent="0.25">
      <c r="B27" s="23" t="s">
        <v>80</v>
      </c>
      <c r="C27" s="24" t="s">
        <v>81</v>
      </c>
      <c r="D27" s="25" t="s">
        <v>13</v>
      </c>
      <c r="E27" s="25" t="s">
        <v>14</v>
      </c>
      <c r="F27" s="23" t="s">
        <v>15</v>
      </c>
      <c r="G27" s="23" t="s">
        <v>82</v>
      </c>
      <c r="H27" s="23" t="s">
        <v>83</v>
      </c>
      <c r="I27" s="23" t="s">
        <v>84</v>
      </c>
    </row>
    <row r="28" spans="2:9" x14ac:dyDescent="0.25">
      <c r="B28" s="11">
        <v>1</v>
      </c>
      <c r="C28" s="30" t="s">
        <v>109</v>
      </c>
      <c r="D28" s="31">
        <v>0</v>
      </c>
      <c r="E28" s="31">
        <v>0</v>
      </c>
      <c r="F28" s="9" t="s">
        <v>39</v>
      </c>
      <c r="G28" t="s">
        <v>39</v>
      </c>
      <c r="H28" t="s">
        <v>39</v>
      </c>
      <c r="I28" t="s">
        <v>39</v>
      </c>
    </row>
    <row r="29" spans="3:5" x14ac:dyDescent="0.25">
      <c r="C29" s="32" t="s">
        <v>186</v>
      </c>
      <c r="D29" s="33">
        <f>SUM(D28:D28)</f>
        <v>0</v>
      </c>
      <c r="E29" s="33">
        <f>SUM(E28:E28)</f>
        <v>0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3" max="3" width="46" customWidth="1"/>
    <col min="4" max="4" width="10" customWidth="1"/>
    <col min="5" max="5" width="30" customWidth="1"/>
    <col min="6" max="6" width="10" customWidth="1"/>
    <col min="7" max="7" width="22" customWidth="1"/>
    <col min="8" max="9" width="13" customWidth="1"/>
  </cols>
  <sheetData>
    <row r="1" spans="2:2" x14ac:dyDescent="0.25">
      <c r="B1" s="36" t="s">
        <v>187</v>
      </c>
    </row>
    <row r="2" spans="2:2" x14ac:dyDescent="0.25">
      <c r="B2" t="s">
        <v>188</v>
      </c>
    </row>
    <row r="4" spans="2:9" x14ac:dyDescent="0.25">
      <c r="B4" s="37" t="s">
        <v>84</v>
      </c>
      <c r="C4" s="37" t="s">
        <v>81</v>
      </c>
      <c r="D4" s="37" t="s">
        <v>189</v>
      </c>
      <c r="E4" s="37" t="s">
        <v>190</v>
      </c>
      <c r="F4" s="37" t="s">
        <v>82</v>
      </c>
      <c r="G4" s="37" t="s">
        <v>83</v>
      </c>
      <c r="H4" s="37" t="s">
        <v>13</v>
      </c>
      <c r="I4" s="37" t="s">
        <v>14</v>
      </c>
    </row>
    <row r="5" spans="2:9" x14ac:dyDescent="0.25">
      <c r="B5" t="s">
        <v>90</v>
      </c>
      <c r="C5" t="s">
        <v>86</v>
      </c>
      <c r="D5" t="s">
        <v>191</v>
      </c>
      <c r="E5" t="s">
        <v>85</v>
      </c>
      <c r="F5" t="s">
        <v>88</v>
      </c>
      <c r="G5" t="s">
        <v>89</v>
      </c>
      <c r="H5" s="16">
        <v>2.88</v>
      </c>
      <c r="I5" s="16">
        <v>5.76</v>
      </c>
    </row>
    <row r="6" spans="2:9" x14ac:dyDescent="0.25">
      <c r="B6" t="s">
        <v>94</v>
      </c>
      <c r="C6" t="s">
        <v>91</v>
      </c>
      <c r="D6" t="s">
        <v>191</v>
      </c>
      <c r="E6" t="s">
        <v>85</v>
      </c>
      <c r="F6" t="s">
        <v>88</v>
      </c>
      <c r="G6" t="s">
        <v>93</v>
      </c>
      <c r="H6" s="16">
        <v>3.24</v>
      </c>
      <c r="I6" s="16">
        <v>6.48</v>
      </c>
    </row>
    <row r="7" spans="2:9" x14ac:dyDescent="0.25">
      <c r="B7" t="s">
        <v>98</v>
      </c>
      <c r="C7" t="s">
        <v>95</v>
      </c>
      <c r="D7" t="s">
        <v>191</v>
      </c>
      <c r="E7" t="s">
        <v>85</v>
      </c>
      <c r="F7" t="s">
        <v>88</v>
      </c>
      <c r="G7" t="s">
        <v>97</v>
      </c>
      <c r="H7" s="16">
        <v>1.94</v>
      </c>
      <c r="I7" s="16">
        <v>3.89</v>
      </c>
    </row>
    <row r="8" spans="2:9" x14ac:dyDescent="0.25">
      <c r="B8" t="s">
        <v>102</v>
      </c>
      <c r="C8" t="s">
        <v>99</v>
      </c>
      <c r="D8" t="s">
        <v>191</v>
      </c>
      <c r="E8" t="s">
        <v>85</v>
      </c>
      <c r="F8" t="s">
        <v>88</v>
      </c>
      <c r="G8" t="s">
        <v>101</v>
      </c>
      <c r="H8" s="16">
        <v>9.6</v>
      </c>
      <c r="I8" s="16">
        <v>16.8</v>
      </c>
    </row>
    <row r="9" spans="2:9" x14ac:dyDescent="0.25">
      <c r="B9" t="s">
        <v>106</v>
      </c>
      <c r="C9" t="s">
        <v>103</v>
      </c>
      <c r="D9" t="s">
        <v>191</v>
      </c>
      <c r="E9" t="s">
        <v>85</v>
      </c>
      <c r="F9" t="s">
        <v>88</v>
      </c>
      <c r="G9" t="s">
        <v>105</v>
      </c>
      <c r="H9" s="16">
        <v>9.6</v>
      </c>
      <c r="I9" s="16">
        <v>16.8</v>
      </c>
    </row>
    <row r="10" spans="2:9" x14ac:dyDescent="0.25">
      <c r="B10" t="s">
        <v>136</v>
      </c>
      <c r="C10" t="s">
        <v>133</v>
      </c>
      <c r="D10" t="s">
        <v>192</v>
      </c>
      <c r="E10" t="s">
        <v>132</v>
      </c>
      <c r="F10" t="s">
        <v>88</v>
      </c>
      <c r="G10" t="s">
        <v>135</v>
      </c>
      <c r="H10" s="16">
        <v>12.48</v>
      </c>
      <c r="I10" s="16">
        <v>21.84</v>
      </c>
    </row>
    <row r="11" spans="2:9" x14ac:dyDescent="0.25">
      <c r="B11" t="s">
        <v>122</v>
      </c>
      <c r="C11" t="s">
        <v>119</v>
      </c>
      <c r="D11" t="s">
        <v>192</v>
      </c>
      <c r="E11" t="s">
        <v>118</v>
      </c>
      <c r="F11" t="s">
        <v>88</v>
      </c>
      <c r="G11" t="s">
        <v>121</v>
      </c>
      <c r="H11" s="16">
        <v>9.36</v>
      </c>
      <c r="I11" s="16">
        <v>15.6</v>
      </c>
    </row>
    <row r="12" spans="2:9" x14ac:dyDescent="0.25">
      <c r="B12" t="s">
        <v>126</v>
      </c>
      <c r="C12" t="s">
        <v>123</v>
      </c>
      <c r="D12" t="s">
        <v>192</v>
      </c>
      <c r="E12" t="s">
        <v>118</v>
      </c>
      <c r="F12" t="s">
        <v>88</v>
      </c>
      <c r="G12" t="s">
        <v>125</v>
      </c>
      <c r="H12" s="16">
        <v>5.62</v>
      </c>
      <c r="I12" s="16">
        <v>9.36</v>
      </c>
    </row>
    <row r="13" spans="2:9" x14ac:dyDescent="0.25">
      <c r="B13" t="s">
        <v>131</v>
      </c>
      <c r="C13" t="s">
        <v>128</v>
      </c>
      <c r="D13" t="s">
        <v>192</v>
      </c>
      <c r="E13" t="s">
        <v>127</v>
      </c>
      <c r="F13" t="s">
        <v>88</v>
      </c>
      <c r="G13" t="s">
        <v>130</v>
      </c>
      <c r="H13" s="16">
        <v>7.8</v>
      </c>
      <c r="I13" s="16">
        <v>12.48</v>
      </c>
    </row>
    <row r="14" spans="2:9" x14ac:dyDescent="0.25">
      <c r="B14" t="s">
        <v>150</v>
      </c>
      <c r="C14" t="s">
        <v>147</v>
      </c>
      <c r="D14" t="s">
        <v>193</v>
      </c>
      <c r="E14" t="s">
        <v>194</v>
      </c>
      <c r="F14" t="s">
        <v>88</v>
      </c>
      <c r="G14" t="s">
        <v>149</v>
      </c>
      <c r="H14" s="16">
        <v>3.6</v>
      </c>
      <c r="I14" s="16">
        <v>7.2</v>
      </c>
    </row>
    <row r="15" spans="2:9" x14ac:dyDescent="0.25">
      <c r="B15" t="s">
        <v>171</v>
      </c>
      <c r="C15" t="s">
        <v>169</v>
      </c>
      <c r="D15" t="s">
        <v>193</v>
      </c>
      <c r="E15" t="s">
        <v>194</v>
      </c>
      <c r="F15" t="s">
        <v>88</v>
      </c>
      <c r="G15" t="s">
        <v>149</v>
      </c>
      <c r="H15" s="16">
        <v>5.4</v>
      </c>
      <c r="I15" s="16">
        <v>9</v>
      </c>
    </row>
    <row r="16" spans="2:9" x14ac:dyDescent="0.25">
      <c r="B16" t="s">
        <v>163</v>
      </c>
      <c r="C16" t="s">
        <v>160</v>
      </c>
      <c r="D16" t="s">
        <v>193</v>
      </c>
      <c r="E16" t="s">
        <v>194</v>
      </c>
      <c r="F16" t="s">
        <v>162</v>
      </c>
      <c r="G16" t="s">
        <v>39</v>
      </c>
      <c r="H16" s="16">
        <v>4</v>
      </c>
      <c r="I16" s="16">
        <v>8</v>
      </c>
    </row>
    <row r="17" spans="2:9" x14ac:dyDescent="0.25">
      <c r="B17" t="s">
        <v>181</v>
      </c>
      <c r="C17" t="s">
        <v>179</v>
      </c>
      <c r="D17" t="s">
        <v>178</v>
      </c>
      <c r="E17" t="s">
        <v>194</v>
      </c>
      <c r="F17" t="s">
        <v>162</v>
      </c>
      <c r="G17" t="s">
        <v>39</v>
      </c>
      <c r="H17" s="16">
        <v>4</v>
      </c>
      <c r="I17" s="16">
        <v>8</v>
      </c>
    </row>
    <row r="18" spans="3:9" x14ac:dyDescent="0.25">
      <c r="C18" s="38" t="s">
        <v>195</v>
      </c>
      <c r="H18" s="39">
        <f>SUBTOTAL(9,H5:H17)</f>
        <v>79.52</v>
      </c>
      <c r="I18" s="39">
        <f>SUBTOTAL(9,I5:I17)</f>
        <v>141.21</v>
      </c>
    </row>
  </sheetData>
  <autoFilter ref="B4:I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Dev Backend Estimates</vt:lpstr>
      <vt:lpstr>Dev Mobile Estimates</vt:lpstr>
      <vt:lpstr>Dev Web Estimates</vt:lpstr>
      <vt:lpstr>QA Estimates</vt:lpstr>
      <vt:lpstr>Design Estimates</vt:lpstr>
      <vt:lpstr>Other Estimates</vt:lpstr>
      <vt:lpstr>All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Factory</dc:creator>
  <dc:title>Estimation template (styles only)</dc:title>
  <cp:lastModifiedBy>Unknown</cp:lastModifiedBy>
  <dcterms:created xsi:type="dcterms:W3CDTF">2026-09-30T17:16:16Z</dcterms:created>
  <dcterms:modified xsi:type="dcterms:W3CDTF">2026-09-30T17:16:16Z</dcterms:modified>
</cp:coreProperties>
</file>