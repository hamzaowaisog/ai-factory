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v Backend Estimates" state="visible" r:id="rId5"/>
    <sheet sheetId="3" name="Dev Mobile Estimates" state="visible" r:id="rId6"/>
    <sheet sheetId="4" name="Dev Web Estimates" state="visible" r:id="rId7"/>
    <sheet sheetId="5" name="QA Estimates" state="visible" r:id="rId8"/>
    <sheet sheetId="6" name="Design Estimates" state="visible" r:id="rId9"/>
    <sheet sheetId="7" name="Other Estimates" state="visible" r:id="rId10"/>
    <sheet sheetId="8" name="All Tasks" state="visible" r:id="rId11"/>
    <sheet sheetId="9" name="Confidence" state="visible" r:id="rId12"/>
    <sheet sheetId="10" name="Anchors" state="visible" r:id="rId13"/>
    <sheet sheetId="11" name="Traceability" state="visible" r:id="rId14"/>
    <sheet sheetId="12" name="Parameters" state="visible" r:id="rId15"/>
    <sheet sheetId="13" name="Gates" state="visible" r:id="rId16"/>
  </sheets>
  <calcPr calcId="171027"/>
</workbook>
</file>

<file path=xl/sharedStrings.xml><?xml version="1.0" encoding="utf-8"?>
<sst xmlns="http://schemas.openxmlformats.org/spreadsheetml/2006/main" count="952" uniqueCount="395">
  <si>
    <t>Folio3 Project Estimation</t>
  </si>
  <si>
    <t>Maintenance Request</t>
  </si>
  <si>
    <t>Summary of Estimates</t>
  </si>
  <si>
    <t>Client Name</t>
  </si>
  <si>
    <t>The ignite studio</t>
  </si>
  <si>
    <t>Project Manager</t>
  </si>
  <si>
    <t>Ahsan Raza</t>
  </si>
  <si>
    <t>Date</t>
  </si>
  <si>
    <t>2026-10-10</t>
  </si>
  <si>
    <t>Version</t>
  </si>
  <si>
    <t>1</t>
  </si>
  <si>
    <t>Efforts (in hours)</t>
  </si>
  <si>
    <t>API credits (USD)</t>
  </si>
  <si>
    <t>Task Summary</t>
  </si>
  <si>
    <t>Minimum</t>
  </si>
  <si>
    <t>Maximum</t>
  </si>
  <si>
    <t>Comments</t>
  </si>
  <si>
    <t>API min ($)</t>
  </si>
  <si>
    <t>API max ($)</t>
  </si>
  <si>
    <t>Avg</t>
  </si>
  <si>
    <t>Resources</t>
  </si>
  <si>
    <t>Weeks</t>
  </si>
  <si>
    <t>Backend Development Estimates</t>
  </si>
  <si>
    <t>Grand total of the Backend sheet</t>
  </si>
  <si>
    <t>Mobile Development Estimates</t>
  </si>
  <si>
    <t>Grand total of the Mobile sheet</t>
  </si>
  <si>
    <t>Admin Development Estimates</t>
  </si>
  <si>
    <t>Grand total of the Web / Admin sheet</t>
  </si>
  <si>
    <t>QA Estimates</t>
  </si>
  <si>
    <t>Grand total of the QA sheet</t>
  </si>
  <si>
    <t>GD Estimates</t>
  </si>
  <si>
    <t>Other Estimates sheet</t>
  </si>
  <si>
    <t>PM Estimates</t>
  </si>
  <si>
    <t>PDM Estimates</t>
  </si>
  <si>
    <t>Cross-cutting Estimates</t>
  </si>
  <si>
    <t>Other Estimates sheet: deployment, documentation and the like</t>
  </si>
  <si>
    <t>Design Estimates</t>
  </si>
  <si>
    <t>Counted in the total only when Design is switched on below</t>
  </si>
  <si>
    <t>Total</t>
  </si>
  <si>
    <t>Project-level API (planning, design, breakdown and estimate, once per project)</t>
  </si>
  <si>
    <t>List of Special Considerations, where applicable:</t>
  </si>
  <si>
    <t>Tasks</t>
  </si>
  <si>
    <t>Action</t>
  </si>
  <si>
    <t/>
  </si>
  <si>
    <t>Application type (mobile, desktop, web)</t>
  </si>
  <si>
    <t>Backend + Web</t>
  </si>
  <si>
    <t>From the tracks that have work</t>
  </si>
  <si>
    <t>Platforms/OS supported</t>
  </si>
  <si>
    <t>Not specified</t>
  </si>
  <si>
    <t>Confirm with the client</t>
  </si>
  <si>
    <t>Browsers supported</t>
  </si>
  <si>
    <t>No specific browser support target beyond browsers compatible with the chosen implementation.</t>
  </si>
  <si>
    <t>Clarify answer Q-2</t>
  </si>
  <si>
    <t>Deployment (cloud, dedicated server, enterprise internal network)</t>
  </si>
  <si>
    <t>Performance, Load requirements</t>
  </si>
  <si>
    <t>Security requirements</t>
  </si>
  <si>
    <t>Documentation requirements</t>
  </si>
  <si>
    <t>Other custom?</t>
  </si>
  <si>
    <t>No</t>
  </si>
  <si>
    <t>Parameters</t>
  </si>
  <si>
    <t>Include Design in total</t>
  </si>
  <si>
    <t>Yes</t>
  </si>
  <si>
    <t>Hours per week</t>
  </si>
  <si>
    <t>Feedback rounds</t>
  </si>
  <si>
    <t>Stack chosen by</t>
  </si>
  <si>
    <t>undecided</t>
  </si>
  <si>
    <t>Delivery model</t>
  </si>
  <si>
    <t>Solely agentic</t>
  </si>
  <si>
    <t>Size band</t>
  </si>
  <si>
    <t>M</t>
  </si>
  <si>
    <t>API credit cost (USD)</t>
  </si>
  <si>
    <t>Phase</t>
  </si>
  <si>
    <t>Min ($)</t>
  </si>
  <si>
    <t>Max ($)</t>
  </si>
  <si>
    <t>Based on</t>
  </si>
  <si>
    <t>planning</t>
  </si>
  <si>
    <t>measured: p10-p90 of 8 runs (8 ledger)</t>
  </si>
  <si>
    <t>breakdown-estimate</t>
  </si>
  <si>
    <t>measured: p10-p90 of 3 runs (3 ledger)</t>
  </si>
  <si>
    <t>build</t>
  </si>
  <si>
    <t>measured: p10-p90 of 6 runs (3 ledger, 3 eval)</t>
  </si>
  <si>
    <t>verification</t>
  </si>
  <si>
    <t>measured: p10-p90 of 4 runs (2 ledger, 2 eval)</t>
  </si>
  <si>
    <t>API credit cost total</t>
  </si>
  <si>
    <t>Confidence</t>
  </si>
  <si>
    <t>partial (21 measured records)</t>
  </si>
  <si>
    <t>Per task</t>
  </si>
  <si>
    <t>API min and max ($) on each task sheet: the task's share of build and verification, by its hours. A human task costs nothing; planning, design, breakdown and estimate are spent once per run.</t>
  </si>
  <si>
    <t>How to read the hours</t>
  </si>
  <si>
    <t>Each task's Minimum and Maximum are the hours it takes to deliver. Most of the work is done by AI agents; a person's hours are added only where a person is needed (client acceptance, design sign-off, project liaison, accounts and keys). The API credits beside the hours are what the AI spends to build and verify each task.</t>
  </si>
  <si>
    <t>Executor</t>
  </si>
  <si>
    <t>Factory: the factory's hours only. Joint: the factory with a person's steps (keys, accounts, go-live). Human: a person's hours only (UAT, design sign-off, PM).</t>
  </si>
  <si>
    <t>Factory hours basis</t>
  </si>
  <si>
    <t>cold-start: each task's sized hours, a reference size, until this factory has built enough tasks of its class (3 or more)</t>
  </si>
  <si>
    <t>Hours by executor</t>
  </si>
  <si>
    <t>Factory</t>
  </si>
  <si>
    <t>Human</t>
  </si>
  <si>
    <t>Elapsed time</t>
  </si>
  <si>
    <t>Planning (minutes)</t>
  </si>
  <si>
    <t>Build critical path (days)</t>
  </si>
  <si>
    <t>Assumptions</t>
  </si>
  <si>
    <t>Spec question Q-6: Should the 1280 px table-layout target be configurable, or remain the fixed target specified for this release? → Keep 1280 px as the fixed table-layout target. (answered)</t>
  </si>
  <si>
    <t>Spec question Q-7: Should the request detail screen add states for loading a request and for failures other than not-found? → Keep the specified detail behavior: show the request on success and “Request not found.” for an unknown ID; add no other fetch states. (answered)</t>
  </si>
  <si>
    <t>Spec question Q-8: How should AC-1.1 verify that a newly created request can be retrieved? → Compare the create response with a separate get-by-ID API response. (answered)</t>
  </si>
  <si>
    <t>No design was drawn for this estimate (it was left out at the start): the UI tasks are sized from the requirements alone, with no approved screens behind them, so their range is wider. A build from this estimate draws the design and has it approved before its plan.</t>
  </si>
  <si>
    <t>Gate time, cost and duration are assumed figures, labelled cold-start until the ledger has measured runs.</t>
  </si>
  <si>
    <t>Split before the build: EST-4, EST-5, EST-6 (agent work over 16 h or very large is split into smaller tasks; the hours stay as estimated).</t>
  </si>
  <si>
    <t>Development Estimates for Maintenance Request</t>
  </si>
  <si>
    <t>by Ahsan Raza</t>
  </si>
  <si>
    <t>Grand Total (in hours)</t>
  </si>
  <si>
    <t>Sum of development, other activities and research efforts.</t>
  </si>
  <si>
    <t>API total ($)</t>
  </si>
  <si>
    <t>S.No</t>
  </si>
  <si>
    <t>Task</t>
  </si>
  <si>
    <t>Requirement id(s)</t>
  </si>
  <si>
    <t>Task id</t>
  </si>
  <si>
    <t>Request data and HTTP API</t>
  </si>
  <si>
    <t>Request data model, migrations, persistence, and seed data</t>
  </si>
  <si>
    <t>Request record fields: ID, title, area, priority, optional description, status, and UTC creation time; Database migrations for the request record; Persistence across application restarts; On empty-database initialization, seed exactly eight requests: four Open including exactly one Urgent, two In progress, two Done, with every supported area represented (1 entity (Request) with migration, persistence and seed data; seed rows do not add entities: small. [be-data backend 4-8 h, small x0.6])</t>
  </si>
  <si>
    <t>REQ-1, REQ-2, REQ-3, REQ-6</t>
  </si>
  <si>
    <t>EST-1</t>
  </si>
  <si>
    <t>List requests API</t>
  </si>
  <si>
    <t>List requests operation with optional single-status filter; Return all requests or only those matching the requested status, ordered newest first; Return the seeded request list and status counts after initialization (One optional status filter plus newest-first ordering and status counts: typical. The filter makes this larger than the closest approved small endpoint, which had no filter. [be-endpoint backend 3-6 h, verify easy x0.9])</t>
  </si>
  <si>
    <t>REQ-2, REQ-4, REQ-5</t>
  </si>
  <si>
    <t>EST-2</t>
  </si>
  <si>
    <t>Get request by ID API</t>
  </si>
  <si>
    <t>Get-by-ID operation returns the persisted request record; Unknown ID returns a not-found response; Create response and separate get-by-ID response contain the same ID and request-field values (Plain get-by-ID read with a not-found case; no filters or joins: small, matching the approved small task. [be-endpoint backend 3-6 h, small x0.6, verify easy x0.9])</t>
  </si>
  <si>
    <t>REQ-1, REQ-3, REQ-4, REQ-20</t>
  </si>
  <si>
    <t>EST-3</t>
  </si>
  <si>
    <t>Create request operation and validation rules</t>
  </si>
  <si>
    <t>Create request operation assigns a system-generated ID, UTC creation time, and Open status; Trim surrounding title whitespace before validating and storing; require 3 to 80 characters; Require area Kitchen, Meeting room, Open desk, Washroom, or Reception; Require priority Low, Normal, or Urgent; Allow an optional description of at most 500 characters; Invalid values return an error naming the invalid field; Keep title, area, priority, and description fixed after creation; reject attempts to change those fields or delete a request; Expose only the specified request operations; do not provide additional request operations (11 distinct rules: 3 creation assignments, 4 field validations, field-specific errors, fixed fields, no deletion, and an operation allowlist: large, matching the approved large task. [be-rules backend 8-14 h, large x1.6])</t>
  </si>
  <si>
    <t>REQ-4, REQ-6, REQ-7, REQ-8</t>
  </si>
  <si>
    <t>EST-4</t>
  </si>
  <si>
    <t>Request status-change operation and transition rules</t>
  </si>
  <si>
    <t>Accept Open to In progress, In progress to Done, and Done to Open only; Reject all other status changes without changing the record; Unknown request ID returns not found; Missing status-change body and unrecognized status value return errors without changing the record; Do not expose edit or delete operations (8 rules: 3 allowed transitions, rejection of other transitions, unknown-ID handling, missing-body handling, unrecognized-status handling, and no edit/delete operations: typical, matching the approved typical task. [be-rules backend 8-14 h, typical])</t>
  </si>
  <si>
    <t>REQ-4, REQ-8, REQ-9</t>
  </si>
  <si>
    <t>EST-5</t>
  </si>
  <si>
    <t>Development Total Efforts (in hours)</t>
  </si>
  <si>
    <t>Other Development Activities</t>
  </si>
  <si>
    <t>None</t>
  </si>
  <si>
    <t>Post Development Activities Total Efforts (in hours)</t>
  </si>
  <si>
    <t>Research Task (if any)</t>
  </si>
  <si>
    <t>No research task in this estimate</t>
  </si>
  <si>
    <t>Research Total Efforts (in hours)</t>
  </si>
  <si>
    <t>Assumptions &amp; Constraints</t>
  </si>
  <si>
    <t>Risks</t>
  </si>
  <si>
    <t>Estimates will increase in case of change in requirement</t>
  </si>
  <si>
    <t>EST-1 Request data model, migrations, persistence, and seed data: the estimators disagree, so its range is wide</t>
  </si>
  <si>
    <t>EST-2 List requests API: the estimators disagree, so its range is wide</t>
  </si>
  <si>
    <t>EST-3 Get request by ID API: the estimators disagree, so its range is wide</t>
  </si>
  <si>
    <t>EST-4 Create request operation and validation rules: the estimators disagree, so its range is wide</t>
  </si>
  <si>
    <t>EST-5 Request status-change operation and transition rules: the estimators disagree, so its range is wide</t>
  </si>
  <si>
    <t>Not in scope: no work in this estimate</t>
  </si>
  <si>
    <t>Requests list and request creation</t>
  </si>
  <si>
    <t>Requests list screen</t>
  </si>
  <si>
    <t>Hive Works wordmark and signed-in demo-user initials SC; Status filter choices All, Open, In progress, and Done; All selected initially; Newest-first request list, with stacked cards at 375 px and table rows at 1280 px; no horizontal page scroll at those widths; New request button; Loading state “Loading requests…”; empty state “No requests here.”; load-error state “Could not load requests.” with Retry button; Selecting a filter loads its list; returning from detail retains the selected filter and refreshes the list; After successful creation, show the new Open request at the top and select All; Created date displayed without time or timezone, in a date-only format such as “8 Oct 2026”; Status and priority badges use the specified colors and include readable text labels; Every control is keyboard reachable; text meets WCAG AA contrast (One status filter on a newest-first list, with loading/empty/error states and filter-retention behavior: typical. Responsive presentation and shared UI factors are not counted again beyond the shell. [ui-list web 6-10 h, verify hard x1.3, context partial x1.2])</t>
  </si>
  <si>
    <t>REQ-10, REQ-11, REQ-13, REQ-16, REQ-21, REQ-22, REQ-23</t>
  </si>
  <si>
    <t>EST-7</t>
  </si>
  <si>
    <t>New request dialog</t>
  </si>
  <si>
    <t>Dialog with labeled Title, Area, Priority, and Description fields; Priority defaults to Normal; Create and Cancel controls; Show a field's validation error under that field and keep the dialog open; include the Title error “Title must be 3 to 80 characters.” for a two-character title; On non-validation create failure, show “Could not create request.”, retain entered values, and allow retry through Create; On successful creation, close the dialog and show the new Open request through the Requests list's All filter; Every field is labeled and every control is keyboard reachable (4 labeled fields with validation and submit/cancel behavior: small (up to 5 fields). Dialog error and retry states do not add fields. [ui-form web 6-10 h, small x0.6, verify hard x1.3, context partial x1.2])</t>
  </si>
  <si>
    <t>REQ-7, REQ-12, REQ-13, REQ-14, REQ-15, REQ-22</t>
  </si>
  <si>
    <t>EST-8</t>
  </si>
  <si>
    <t>Request detail and status changes</t>
  </si>
  <si>
    <t>Request detail screen</t>
  </si>
  <si>
    <t>Back link; request title, area, priority badge, status badge, created date, and description or “No description.”; Show “Request not found.” and a link back to Requests for an unknown ID; Show Start work for Open, Mark done for In progress, and Reopen for Done; After a successful status change, show the new status badge and corresponding next action; on failure show “Could not update the request.” and retain the prior status badge; Status and priority badges use the specified colors and include readable text labels; Created date displayed without time or timezone, in a date-only format such as “8 Oct 2026”; Every control is keyboard reachable; text meets WCAG AA contrast (A detail view with one status-dependent action at a time, plus not-found and update-failure states: typical. [ui-detail web 5-8 h, verify hard x1.3, context partial x1.2])</t>
  </si>
  <si>
    <t>REQ-11, REQ-17, REQ-18, REQ-19, REQ-20, REQ-21, REQ-22, REQ-23</t>
  </si>
  <si>
    <t>EST-9</t>
  </si>
  <si>
    <t>Visual presentation and accessibility</t>
  </si>
  <si>
    <t>Web application shell and light theme</t>
  </si>
  <si>
    <t>Browser-accessible web application shell and page layout; One light theme with sans-serif text, neutral background, and near-black text (One browser layout with an explicit light theme and shared responsive/accessibility UI factors: typical. The closest approved shell was small; this scope includes the explicit theme and shared UI factors. [ui-shell web 8-14 h, verify hard x1.3, context partial x1.2])</t>
  </si>
  <si>
    <t>REQ-1, REQ-21</t>
  </si>
  <si>
    <t>EST-6</t>
  </si>
  <si>
    <t>QA Estimates for Maintenance Request</t>
  </si>
  <si>
    <t>Grand Total Efforts (in hours)</t>
  </si>
  <si>
    <t>Sum of QA and Misc.</t>
  </si>
  <si>
    <t>Estimation Summary</t>
  </si>
  <si>
    <t>Test Plan/Strategy</t>
  </si>
  <si>
    <t>Test planning, with the test plan, strategy and traceability matrix as outputs. Not sized in this estimate</t>
  </si>
  <si>
    <t>Set up of Test Environments</t>
  </si>
  <si>
    <t>Setting up code and white box test environments. Not sized in this estimate</t>
  </si>
  <si>
    <t>Validation and Smoke test cases</t>
  </si>
  <si>
    <t>Test cases to execute while debugging and white box testing</t>
  </si>
  <si>
    <t>Automated request business-rule test cases</t>
  </si>
  <si>
    <t>Automated cases for valid creation with Open status; missing and too-short title rejection; missing area rejection; too-long description rejection; Automated cases for all three allowed status transitions and rejection of a disallowed transition; Automated cases for filtered newest-first listing and unknown-ID not-found behavior (3 test flows: creation/validation, status transitions, and filtered listing/not-found behavior: typical. [qa-cases qa 3-6 h, verify easy x0.9])</t>
  </si>
  <si>
    <t>REQ-24</t>
  </si>
  <si>
    <t>EST-10</t>
  </si>
  <si>
    <t>Validation testing</t>
  </si>
  <si>
    <t>Testing cycles; the detail is below</t>
  </si>
  <si>
    <t>Testing Cycle 1</t>
  </si>
  <si>
    <t>Smoke testing</t>
  </si>
  <si>
    <t>Smoke testing after each deployment, including preparation. Not sized in this estimate</t>
  </si>
  <si>
    <t>Multi Browser Compatibility testing</t>
  </si>
  <si>
    <t>Browser, OS and device compatibility. Not sized in this estimate</t>
  </si>
  <si>
    <t>UAT</t>
  </si>
  <si>
    <t>Client user acceptance testing support</t>
  </si>
  <si>
    <t>Client acceptance testing</t>
  </si>
  <si>
    <t>Client UAT is a required human acceptance activity and does not deliver a specification requirement. (One client acceptance and regression round: typical, matching the approved typical task. [qa-uat qa 4-8 h, typical])</t>
  </si>
  <si>
    <t>EST-12</t>
  </si>
  <si>
    <t>Misc. Optional testing</t>
  </si>
  <si>
    <t>Other testing named in the breakdown, and supervisor gate time. Not sized in this estimate</t>
  </si>
  <si>
    <t>Total QA Efforts</t>
  </si>
  <si>
    <t>Total hours of QA</t>
  </si>
  <si>
    <t>Validation Testing</t>
  </si>
  <si>
    <t>Automated list-to-completion end-to-end test</t>
  </si>
  <si>
    <t>Run the list, create, open, Start work, Mark done, and Done-filter workflow; Verify the created request appears at the top, then appears in the Done-filtered list after completion (One multi-step list-to-completion workflow spanning list, create, detail, status changes and the Done filter; broader than a short flow: typical, matching the approved typical task. [qa-e2e qa 6-10 h, verify easy x0.9])</t>
  </si>
  <si>
    <t>EST-11</t>
  </si>
  <si>
    <t>Total Testing Cycle 1</t>
  </si>
  <si>
    <t>Sum of testing cycle 1</t>
  </si>
  <si>
    <t>EST-10 Automated request business-rule test cases: the estimators disagree, so its range is wide</t>
  </si>
  <si>
    <t>EST-11 Automated list-to-completion end-to-end test: the estimators disagree, so its range is wide</t>
  </si>
  <si>
    <t>Design Estimates for Maintenance Request</t>
  </si>
  <si>
    <t>Other Estimates for Maintenance Request</t>
  </si>
  <si>
    <t>GD</t>
  </si>
  <si>
    <t>GD TOTAL</t>
  </si>
  <si>
    <t>PM</t>
  </si>
  <si>
    <t>Client liaison and project management</t>
  </si>
  <si>
    <t>Required human client liaison and project-management overhead; factory planning and coordination of its own work are excluded. (Client liaison, scope decisions and sign-offs across the project; assuming about a month of delivery: typical, matching the approved typical task. [pm-management pm 4-8 h, typical])</t>
  </si>
  <si>
    <t>EST-13</t>
  </si>
  <si>
    <t>PM TOTAL</t>
  </si>
  <si>
    <t>PDM</t>
  </si>
  <si>
    <t>PDM TOTAL</t>
  </si>
  <si>
    <t>Cross-cutting</t>
  </si>
  <si>
    <t>Cross-cutting TOTAL</t>
  </si>
  <si>
    <t>All tasks: Maintenance Request</t>
  </si>
  <si>
    <t>Filter or sort any column. The Total row adds up only the rows the filter shows.</t>
  </si>
  <si>
    <t>Track</t>
  </si>
  <si>
    <t>Module</t>
  </si>
  <si>
    <t>Backend</t>
  </si>
  <si>
    <t>Web</t>
  </si>
  <si>
    <t>QA</t>
  </si>
  <si>
    <t>Automated verification</t>
  </si>
  <si>
    <t>Total (rows shown)</t>
  </si>
  <si>
    <t>agentic</t>
  </si>
  <si>
    <t>Uncertainty</t>
  </si>
  <si>
    <t>high</t>
  </si>
  <si>
    <t>Cost confidence</t>
  </si>
  <si>
    <t>partial</t>
  </si>
  <si>
    <t>Benchmark records</t>
  </si>
  <si>
    <t>Flagged tasks (estimators disagree)</t>
  </si>
  <si>
    <t>Spec sha</t>
  </si>
  <si>
    <t>e2059a0dfaf708960598d4f8255b9841bd06bd97f1f8a91187b28850ce6a85d2</t>
  </si>
  <si>
    <t>Breakdown sha</t>
  </si>
  <si>
    <t>9f6a33e8048b820d68f3887c921710cdce802e8b48d6503e0d4781362d0669c7</t>
  </si>
  <si>
    <t>Task catalogue</t>
  </si>
  <si>
    <t>2026-10-06.1 (stack dotnet)</t>
  </si>
  <si>
    <t>Catalogue status</t>
  </si>
  <si>
    <t>reference hours, not yet measured</t>
  </si>
  <si>
    <t>API cost by phase</t>
  </si>
  <si>
    <t>Ledger runs</t>
  </si>
  <si>
    <t>Eval runs</t>
  </si>
  <si>
    <t>planning ($0.51-7.07)</t>
  </si>
  <si>
    <t>breakdown-estimate ($0.47-0.95)</t>
  </si>
  <si>
    <t>build ($11.62-54.33)</t>
  </si>
  <si>
    <t>verification ($0.06-1.74)</t>
  </si>
  <si>
    <t>Anchors</t>
  </si>
  <si>
    <t>Title</t>
  </si>
  <si>
    <t>Min (h)</t>
  </si>
  <si>
    <t>Max (h)</t>
  </si>
  <si>
    <t>Why a fair reference</t>
  </si>
  <si>
    <t>1 entity (Request) with migration, persistence and seed data; seed rows do not add entities: small. [be-data backend 4-8 h, small x0.6] (Median of the estimators; the lead estimator read 2.4-4.8 h, and the ratios multiply that reading.)</t>
  </si>
  <si>
    <t>One optional status filter plus newest-first ordering and status counts: typical. The filter makes this larger than the closest approved small endpoint, which had no filter. [be-endpoint backend 3-6 h, verify easy x0.9] (Median of the estimators; the lead estimator read 2.7-5.4 h, and the ratios multiply that reading.)</t>
  </si>
  <si>
    <t>11 distinct rules: 3 creation assignments, 4 field validations, field-specific errors, fixed fields, no deletion, and an operation allowlist: large, matching the approved large task. [be-rules backend 8-14 h, large x1.6] (Median of the estimators; the lead estimator read 12.8-22.4 h, and the ratios multiply that reading.)</t>
  </si>
  <si>
    <t>One browser layout with an explicit light theme and shared responsive/accessibility UI factors: typical. The closest approved shell was small; this scope includes the explicit theme and shared UI factors. [ui-shell web 8-14 h, verify hard x1.3, context partial x1.2]</t>
  </si>
  <si>
    <t>One status filter on a newest-first list, with loading/empty/error states and filter-retention behavior: typical. Responsive presentation and shared UI factors are not counted again beyond the shell. [ui-list web 6-10 h, verify hard x1.3, context partial x1.2]</t>
  </si>
  <si>
    <t>4 labeled fields with validation and submit/cancel behavior: small (up to 5 fields). Dialog error and retry states do not add fields. [ui-form web 6-10 h, small x0.6, verify hard x1.3, context partial x1.2]</t>
  </si>
  <si>
    <t>A detail view with one status-dependent action at a time, plus not-found and update-failure states: typical. [ui-detail web 5-8 h, verify hard x1.3, context partial x1.2]</t>
  </si>
  <si>
    <t>3 test flows: creation/validation, status transitions, and filtered listing/not-found behavior: typical. [qa-cases qa 3-6 h, verify easy x0.9] (Median of the estimators; the lead estimator read 2.7-5.4 h, and the ratios multiply that reading.)</t>
  </si>
  <si>
    <t>One multi-step list-to-completion workflow spanning list, create, detail, status changes and the Done filter; broader than a short flow: typical, matching the approved typical task. [qa-e2e qa 6-10 h, verify easy x0.9]</t>
  </si>
  <si>
    <t>One client acceptance and regression round: typical, matching the approved typical task. [qa-uat qa 4-8 h, typical]</t>
  </si>
  <si>
    <t>Client liaison, scope decisions and sign-offs across the project; assuming about a month of delivery: typical, matching the approved typical task. [pm-management pm 4-8 h, typical]</t>
  </si>
  <si>
    <t>Anchor</t>
  </si>
  <si>
    <t>Ratio</t>
  </si>
  <si>
    <t>Reason</t>
  </si>
  <si>
    <t>Flagged</t>
  </si>
  <si>
    <t>1 entity (Request) with migration, persistence and seed data; seed rows do not add entities: small. [be-data backend 4-8 h, small x0.6]</t>
  </si>
  <si>
    <t>factory</t>
  </si>
  <si>
    <t>yes</t>
  </si>
  <si>
    <t>One optional status filter plus newest-first ordering and status counts: typical. The filter makes this larger than the closest approved small endpoint, which had no filter. [be-endpoint backend 3-6 h, verify easy x0.9]</t>
  </si>
  <si>
    <t>Plain get-by-ID read with a not-found case; no filters or joins: small, matching the approved small task. [be-endpoint backend 3-6 h, small x0.6, verify easy x0.9]</t>
  </si>
  <si>
    <t>11 distinct rules: 3 creation assignments, 4 field validations, field-specific errors, fixed fields, no deletion, and an operation allowlist: large, matching the approved large task. [be-rules backend 8-14 h, large x1.6]</t>
  </si>
  <si>
    <t>8 rules: 3 allowed transitions, rejection of other transitions, unknown-ID handling, missing-body handling, unrecognized-status handling, and no edit/delete operations: typical, matching the approved typical task. [be-rules backend 8-14 h, typical]</t>
  </si>
  <si>
    <t>3 test flows: creation/validation, status transitions, and filtered listing/not-found behavior: typical. [qa-cases qa 3-6 h, verify easy x0.9]</t>
  </si>
  <si>
    <t>human</t>
  </si>
  <si>
    <t>Requirements and traceability</t>
  </si>
  <si>
    <t>Requirement</t>
  </si>
  <si>
    <t>REQ-1</t>
  </si>
  <si>
    <t>The maintenance request system shall provide a browser-accessible web front end, an HTTP API, and a database that stores request records.</t>
  </si>
  <si>
    <t>EST-1, EST-3, EST-6</t>
  </si>
  <si>
    <t>REQ-10</t>
  </si>
  <si>
    <t>The Requests screen shall display the Hive Works wordmark, the signed-in demo user's initials SC, a status filter with All, Open, In prog...</t>
  </si>
  <si>
    <t>REQ-11</t>
  </si>
  <si>
    <t>When a user selects a status filter or returns from request detail, the Requests screen shall load the list for the selected filter and r...</t>
  </si>
  <si>
    <t>EST-7, EST-9</t>
  </si>
  <si>
    <t>REQ-12</t>
  </si>
  <si>
    <t>When the user opens New request, the Requests screen shall show a dialog with Title, Area, Priority defaulting to Normal, and Description...</t>
  </si>
  <si>
    <t>REQ-13</t>
  </si>
  <si>
    <t>When valid request creation succeeds, the Requests screen shall close the dialog, select All, and show the new Open request at the top of...</t>
  </si>
  <si>
    <t>EST-7, EST-8</t>
  </si>
  <si>
    <t>REQ-14</t>
  </si>
  <si>
    <t>When a create field fails validation, the Requests screen shall keep the dialog open and display the field's error message under that field.</t>
  </si>
  <si>
    <t>REQ-15</t>
  </si>
  <si>
    <t>When the create API call fails for a reason other than field validation, the Requests screen shall show “Could not create request.” in th...</t>
  </si>
  <si>
    <t>REQ-16</t>
  </si>
  <si>
    <t>While requests are loading, absent for the selected filter, or fail to load, the Requests screen shall display the corresponding loading,...</t>
  </si>
  <si>
    <t>REQ-17</t>
  </si>
  <si>
    <t>When a request exists, the request detail screen shall display a back link, its title, area, priority badge, status badge, created date, ...</t>
  </si>
  <si>
    <t>REQ-18</t>
  </si>
  <si>
    <t>The request detail screen shall show Start work for Open, Mark done for In progress, and Reopen for Done.</t>
  </si>
  <si>
    <t>REQ-19</t>
  </si>
  <si>
    <t>When a status change succeeds or fails, the request detail screen shall show the new status and corresponding action only after success, ...</t>
  </si>
  <si>
    <t>REQ-2</t>
  </si>
  <si>
    <t>When an empty database is initialized, the maintenance request system shall seed exactly eight requests: four Open including exactly one ...</t>
  </si>
  <si>
    <t>EST-1, EST-2</t>
  </si>
  <si>
    <t>REQ-20</t>
  </si>
  <si>
    <t>When a request ID does not exist, the request detail screen shall display “Request not found.” and a link back to the Requests screen.</t>
  </si>
  <si>
    <t>EST-3, EST-9</t>
  </si>
  <si>
    <t>REQ-21</t>
  </si>
  <si>
    <t>The maintenance request screens shall use one light theme, one sans-serif font, a neutral background, near-black text, and the specified ...</t>
  </si>
  <si>
    <t>EST-6, EST-7, EST-9</t>
  </si>
  <si>
    <t>REQ-22</t>
  </si>
  <si>
    <t>The maintenance request screens shall show request dates as date-only values, use stacked cards at 375 px and table rows at the fixed 128...</t>
  </si>
  <si>
    <t>EST-7, EST-8, EST-9</t>
  </si>
  <si>
    <t>REQ-23</t>
  </si>
  <si>
    <t>The maintenance request system shall display created dates as date-only values such as “8 Oct 2026” without a time or timezone.</t>
  </si>
  <si>
    <t>The maintenance request application shall include automated tests for the request business rules and an end-to-end list-to-completion wor...</t>
  </si>
  <si>
    <t>EST-10, EST-11</t>
  </si>
  <si>
    <t>REQ-3</t>
  </si>
  <si>
    <t>The maintenance request system shall persist request records across browser reloads and application restarts.</t>
  </si>
  <si>
    <t>EST-1, EST-3</t>
  </si>
  <si>
    <t>REQ-4</t>
  </si>
  <si>
    <t>The API shall expose exactly four request operations and no others: list requests, create a request, get a request by ID, and change a re...</t>
  </si>
  <si>
    <t>EST-2, EST-3, EST-4, EST-5</t>
  </si>
  <si>
    <t>REQ-5</t>
  </si>
  <si>
    <t>When a client lists requests, the API shall return all requests or only requests matching one requested status, ordered newest first.</t>
  </si>
  <si>
    <t>REQ-6</t>
  </si>
  <si>
    <t>When a client creates a valid request, the maintenance request system shall assign an ID and UTC creation time and set its status to Open.</t>
  </si>
  <si>
    <t>EST-1, EST-4</t>
  </si>
  <si>
    <t>REQ-7</t>
  </si>
  <si>
    <t>When a client submits a request for creation, the maintenance request system shall require a title trimmed to 3 to 80 characters, an area...</t>
  </si>
  <si>
    <t>EST-4, EST-8</t>
  </si>
  <si>
    <t>REQ-8</t>
  </si>
  <si>
    <t>The API shall keep title, area, priority, and description fixed after creation and reject attempts to change those fields or delete a req...</t>
  </si>
  <si>
    <t>EST-4, EST-5</t>
  </si>
  <si>
    <t>REQ-9</t>
  </si>
  <si>
    <t>The maintenance request API shall accept only Open to In progress, In progress to Done, and Done to Open status transitions, reject all o...</t>
  </si>
  <si>
    <t>Tasks with no requirement (named overheads)</t>
  </si>
  <si>
    <t>Client UAT is a required human acceptance activity and does not deliver a specification requirement.</t>
  </si>
  <si>
    <t>Required human client liaison and project-management overhead; factory planning and coordination of its own work are excluded.</t>
  </si>
  <si>
    <t>Assumed parameters and gate time (all editable, all assumed)</t>
  </si>
  <si>
    <t>Parameter</t>
  </si>
  <si>
    <t>Min</t>
  </si>
  <si>
    <t>Max</t>
  </si>
  <si>
    <t>Clarify minutes per question</t>
  </si>
  <si>
    <t>Approval minutes per section</t>
  </si>
  <si>
    <t>PR review minutes, low risk</t>
  </si>
  <si>
    <t>PR review minutes, medium risk</t>
  </si>
  <si>
    <t>PR review minutes, high risk</t>
  </si>
  <si>
    <t>Parked-run rate</t>
  </si>
  <si>
    <t>Parked-run intervention minutes</t>
  </si>
  <si>
    <t>Waiver minutes</t>
  </si>
  <si>
    <t>Cold-start dollars per task</t>
  </si>
  <si>
    <t>Estimator tolerance</t>
  </si>
  <si>
    <t>Tasks per PR</t>
  </si>
  <si>
    <t>Hours per day</t>
  </si>
  <si>
    <t>Agentic build factor</t>
  </si>
  <si>
    <t>Gate hours in this estimate</t>
  </si>
  <si>
    <t>None: the solely agentic model has no supervisor gates</t>
  </si>
  <si>
    <t>No rates were given, so there is no cost overlay.</t>
  </si>
  <si>
    <t>Estimate gates and waivers</t>
  </si>
  <si>
    <t>Gate</t>
  </si>
  <si>
    <t>Result</t>
  </si>
  <si>
    <t>Details</t>
  </si>
  <si>
    <t>estimate.e1-readiness</t>
  </si>
  <si>
    <t>passed</t>
  </si>
  <si>
    <t>24 requirements, lint, critic and round trip clean (3 problems settled by questions), no open questions</t>
  </si>
  <si>
    <t>estimate.e2-req-to-task</t>
  </si>
  <si>
    <t>all 24 requirements have a task</t>
  </si>
  <si>
    <t>estimate.e3-task-to-req</t>
  </si>
  <si>
    <t>every task cites a requirement or a named overhead</t>
  </si>
  <si>
    <t>estimate.e2c-task-kind</t>
  </si>
  <si>
    <t>every task has a catalogue kind that fits its track (catalogue 2026-10-06.1)</t>
  </si>
  <si>
    <t>estimate.e4-checklist</t>
  </si>
  <si>
    <t>14 checklist items each in, or out with a reason</t>
  </si>
  <si>
    <t>estimate.e1c-design-coverage</t>
  </si>
  <si>
    <t>no approved screens, and no task cites one</t>
  </si>
  <si>
    <t>estimate.e5-consistency</t>
  </si>
  <si>
    <t>similar tasks are within tolerance</t>
  </si>
  <si>
    <t>estimate.e6-lint</t>
  </si>
  <si>
    <t>totals, ratios and costs recompute cleanly</t>
  </si>
  <si>
    <t>estimate.e7-approval</t>
  </si>
  <si>
    <t>approved by mhamza</t>
  </si>
  <si>
    <t>Waivers</t>
  </si>
  <si>
    <t>Gates</t>
  </si>
  <si>
    <t>Step</t>
  </si>
  <si>
    <t>Waived by and why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</si>
</sst>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;-0.00;&quot;–&quot;"/>
    <numFmt numFmtId="165" formatCode="mm/dd/yyyy"/>
  </numFmts>
  <fonts count="18" x14ac:knownFonts="1">
    <font>
      <color theme="1"/>
      <family val="2"/>
      <scheme val="minor"/>
      <sz val="11"/>
      <name val="Calibri"/>
    </font>
    <font>
      <color rgb="FF595959"/>
      <sz val="11"/>
      <name val="Calibri"/>
    </font>
    <font>
      <b/>
      <color theme="0"/>
      <sz val="16"/>
      <name val="Calibri"/>
    </font>
    <font>
      <b/>
      <color theme="1"/>
      <sz val="11"/>
      <name val="Calibri"/>
    </font>
    <font>
      <color rgb="FF000000"/>
      <sz val="11"/>
      <name val="Calibri"/>
    </font>
    <font>
      <i/>
      <color rgb="FF7F7F7F"/>
      <sz val="11"/>
      <name val="Calibri"/>
    </font>
    <font>
      <b/>
      <color theme="0"/>
      <sz val="11"/>
      <name val="Calibri"/>
    </font>
    <font>
      <color theme="1"/>
      <scheme val="minor"/>
      <name val="Arial"/>
    </font>
    <font>
      <color theme="1"/>
      <sz val="11"/>
      <name val="Calibri"/>
    </font>
    <font>
      <i/>
      <color theme="1"/>
      <sz val="11"/>
      <name val="Calibri"/>
    </font>
    <font>
      <b/>
    </font>
    <font>
      <color rgb="FFFFFFFF"/>
      <sz val="18"/>
      <name val="Calibri"/>
    </font>
    <font>
      <color rgb="FF000000"/>
      <sz val="14"/>
      <name val="Calibri"/>
    </font>
    <font>
      <b/>
      <color theme="1"/>
      <sz val="14"/>
      <name val="Calibri"/>
    </font>
    <font>
      <b/>
      <color rgb="FFFFFFFF"/>
      <sz val="11"/>
      <name val="Calibri"/>
    </font>
    <font>
      <b/>
      <color rgb="FF3F3F3F"/>
      <sz val="11"/>
      <name val="Calibri"/>
    </font>
    <font>
      <i/>
    </font>
    <font>
      <b/>
      <sz val="14"/>
    </font>
  </fonts>
  <fills count="5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/>
    <xf numFmtId="0" fontId="7" fillId="0" borderId="0" xfId="0" applyFont="1" applyAlignment="1">
      <alignment readingOrder="1"/>
    </xf>
    <xf numFmtId="0" fontId="8" fillId="0" borderId="2" xfId="0" applyFont="1" applyBorder="1" applyAlignment="1">
      <alignment readingOrder="1"/>
    </xf>
    <xf numFmtId="164" fontId="4" fillId="0" borderId="2" xfId="0" applyNumberFormat="1" applyFont="1" applyBorder="1"/>
    <xf numFmtId="0" fontId="8" fillId="0" borderId="2" xfId="0" applyFont="1" applyBorder="1"/>
    <xf numFmtId="164" fontId="8" fillId="0" borderId="0" xfId="0" applyNumberFormat="1" applyFont="1"/>
    <xf numFmtId="164" fontId="8" fillId="0" borderId="0" xfId="0" applyNumberFormat="1" applyFont="1" applyAlignment="1">
      <alignment readingOrder="1"/>
    </xf>
    <xf numFmtId="164" fontId="8" fillId="0" borderId="2" xfId="0" applyNumberFormat="1" applyFont="1" applyBorder="1"/>
    <xf numFmtId="0" fontId="9" fillId="0" borderId="2" xfId="0" applyFont="1" applyBorder="1" applyAlignment="1">
      <alignment horizontal="left"/>
    </xf>
    <xf numFmtId="164" fontId="0" fillId="0" borderId="0" xfId="0" applyNumberFormat="1"/>
    <xf numFmtId="164" fontId="10" fillId="0" borderId="0" xfId="0" applyNumberFormat="1" applyFont="1"/>
    <xf numFmtId="0" fontId="11" fillId="2" borderId="0" xfId="0" applyFont="1" applyFill="1" applyAlignment="1">
      <alignment horizontal="center" vertical="center"/>
    </xf>
    <xf numFmtId="165" fontId="12" fillId="0" borderId="0" xfId="0" applyNumberFormat="1" applyFont="1" applyAlignment="1">
      <alignment horizontal="center" vertical="center" readingOrder="1"/>
    </xf>
    <xf numFmtId="0" fontId="12" fillId="0" borderId="0" xfId="0" applyFont="1" applyAlignment="1">
      <alignment horizontal="center" vertical="center" readingOrder="1"/>
    </xf>
    <xf numFmtId="0" fontId="13" fillId="0" borderId="0" xfId="0" applyFont="1" applyAlignment="1">
      <alignment horizontal="right" vertical="center"/>
    </xf>
    <xf numFmtId="164" fontId="13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6" fillId="2" borderId="2" xfId="0" applyFont="1" applyFill="1" applyBorder="1" applyAlignment="1">
      <alignment vertical="center"/>
    </xf>
    <xf numFmtId="0" fontId="14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 wrapText="1"/>
    </xf>
    <xf numFmtId="0" fontId="15" fillId="3" borderId="2" xfId="0" applyFont="1" applyFill="1" applyBorder="1" applyAlignment="1">
      <alignment horizontal="right"/>
    </xf>
    <xf numFmtId="0" fontId="15" fillId="3" borderId="2" xfId="0" applyFont="1" applyFill="1" applyBorder="1" applyAlignment="1">
      <alignment readingOrder="1"/>
    </xf>
    <xf numFmtId="164" fontId="15" fillId="3" borderId="2" xfId="0" applyNumberFormat="1" applyFont="1" applyFill="1" applyBorder="1" applyAlignment="1">
      <alignment horizontal="right"/>
    </xf>
    <xf numFmtId="0" fontId="8" fillId="3" borderId="2" xfId="0" applyFont="1" applyFill="1" applyBorder="1"/>
    <xf numFmtId="0" fontId="4" fillId="0" borderId="2" xfId="0" applyFont="1" applyBorder="1" applyAlignment="1">
      <alignment readingOrder="1"/>
    </xf>
    <xf numFmtId="164" fontId="4" fillId="0" borderId="2" xfId="0" applyNumberFormat="1" applyFont="1" applyBorder="1" applyAlignment="1">
      <alignment horizontal="right" readingOrder="1"/>
    </xf>
    <xf numFmtId="0" fontId="15" fillId="3" borderId="2" xfId="0" applyFont="1" applyFill="1" applyBorder="1" applyAlignment="1">
      <alignment horizontal="right" vertical="center"/>
    </xf>
    <xf numFmtId="164" fontId="15" fillId="3" borderId="2" xfId="0" applyNumberFormat="1" applyFont="1" applyFill="1" applyBorder="1" applyAlignment="1">
      <alignment vertical="center"/>
    </xf>
    <xf numFmtId="0" fontId="15" fillId="3" borderId="2" xfId="0" applyFont="1" applyFill="1" applyBorder="1" applyAlignment="1">
      <alignment vertical="center"/>
    </xf>
    <xf numFmtId="0" fontId="16" fillId="0" borderId="0" xfId="0" applyFont="1"/>
    <xf numFmtId="0" fontId="17" fillId="0" borderId="0" xfId="0" applyFont="1"/>
    <xf numFmtId="0" fontId="10" fillId="4" borderId="0" xfId="0" applyFont="1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3"/>
  <sheetFormatPr defaultRowHeight="15" outlineLevelRow="0" outlineLevelCol="0" x14ac:dyDescent="55"/>
  <cols>
    <col min="1" max="1" width="7.75" customWidth="1"/>
    <col min="2" max="2" width="33.13" customWidth="1"/>
    <col min="3" max="3" width="9.88" customWidth="1"/>
    <col min="4" max="4" width="10.63" customWidth="1"/>
    <col min="5" max="5" width="42.38" customWidth="1"/>
    <col min="6" max="7" width="14" customWidth="1"/>
    <col min="8" max="10" width="12" customWidth="1"/>
  </cols>
  <sheetData>
    <row r="1" spans="2:2" x14ac:dyDescent="0.25">
      <c r="B1" s="1" t="s">
        <v>0</v>
      </c>
    </row>
    <row r="2" spans="2:5" x14ac:dyDescent="0.25">
      <c r="B2" s="2" t="s">
        <v>1</v>
      </c>
      <c r="C2" s="2"/>
      <c r="D2" s="2"/>
      <c r="E2" s="2"/>
    </row>
    <row r="3" spans="2:5" x14ac:dyDescent="0.25">
      <c r="B3" s="2" t="s">
        <v>2</v>
      </c>
      <c r="C3" s="2"/>
      <c r="D3" s="2"/>
      <c r="E3" s="2"/>
    </row>
    <row r="5" spans="2:3" x14ac:dyDescent="0.25">
      <c r="B5" s="3" t="s">
        <v>3</v>
      </c>
      <c r="C5" s="4" t="s">
        <v>4</v>
      </c>
    </row>
    <row r="6" spans="2:3" x14ac:dyDescent="0.25">
      <c r="B6" s="3" t="s">
        <v>5</v>
      </c>
      <c r="C6" s="4" t="s">
        <v>6</v>
      </c>
    </row>
    <row r="7" spans="2:3" x14ac:dyDescent="0.25">
      <c r="B7" s="3" t="s">
        <v>7</v>
      </c>
      <c r="C7" s="4" t="s">
        <v>8</v>
      </c>
    </row>
    <row r="8" spans="2:3" x14ac:dyDescent="0.25">
      <c r="B8" s="3" t="s">
        <v>9</v>
      </c>
      <c r="C8" s="4" t="s">
        <v>10</v>
      </c>
    </row>
    <row r="9" spans="3:7" x14ac:dyDescent="0.25">
      <c r="C9" s="5" t="s">
        <v>11</v>
      </c>
      <c r="D9" s="5"/>
      <c r="F9" s="5" t="s">
        <v>12</v>
      </c>
      <c r="G9" s="5"/>
    </row>
    <row r="10" spans="2:10" x14ac:dyDescent="0.25">
      <c r="B10" s="6" t="s">
        <v>13</v>
      </c>
      <c r="C10" s="7" t="s">
        <v>14</v>
      </c>
      <c r="D10" s="7" t="s">
        <v>15</v>
      </c>
      <c r="E10" s="7" t="s">
        <v>16</v>
      </c>
      <c r="F10" s="7" t="s">
        <v>17</v>
      </c>
      <c r="G10" s="7" t="s">
        <v>18</v>
      </c>
      <c r="H10" s="8" t="s">
        <v>19</v>
      </c>
      <c r="I10" s="8" t="s">
        <v>20</v>
      </c>
      <c r="J10" s="8" t="s">
        <v>21</v>
      </c>
    </row>
    <row r="11" spans="2:10" x14ac:dyDescent="0.25">
      <c r="B11" s="9" t="s">
        <v>22</v>
      </c>
      <c r="C11" s="10">
        <f>'Dev Backend Estimates'!D6</f>
        <v>27.26</v>
      </c>
      <c r="D11" s="10">
        <f>'Dev Backend Estimates'!E6</f>
        <v>49.73</v>
      </c>
      <c r="E11" s="11" t="s">
        <v>23</v>
      </c>
      <c r="F11" s="10">
        <f>'Dev Backend Estimates'!J6</f>
        <v>4.58</v>
      </c>
      <c r="G11" s="10">
        <f>'Dev Backend Estimates'!K6</f>
        <v>21.95</v>
      </c>
      <c r="H11" s="12">
        <f>ROUND((C11+D11)/2,2)</f>
        <v>38.49</v>
      </c>
      <c r="I11" s="13">
        <v>1</v>
      </c>
      <c r="J11" s="12">
        <f>ROUND(H11/($C$48*I11),2)</f>
        <v>0.96</v>
      </c>
    </row>
    <row r="12" spans="2:10" x14ac:dyDescent="0.25">
      <c r="B12" s="9" t="s">
        <v>24</v>
      </c>
      <c r="C12" s="10">
        <f>'Dev Mobile Estimates'!D6</f>
        <v>0</v>
      </c>
      <c r="D12" s="10">
        <f>'Dev Mobile Estimates'!E6</f>
        <v>0</v>
      </c>
      <c r="E12" s="11" t="s">
        <v>25</v>
      </c>
      <c r="F12" s="10">
        <f>'Dev Mobile Estimates'!J6</f>
        <v>0</v>
      </c>
      <c r="G12" s="10">
        <f>'Dev Mobile Estimates'!K6</f>
        <v>0</v>
      </c>
      <c r="H12" s="12">
        <f>ROUND((C12+D12)/2,2)</f>
        <v>0</v>
      </c>
      <c r="I12" s="13">
        <v>1</v>
      </c>
      <c r="J12" s="12">
        <f>ROUND(H12/($C$48*I12),2)</f>
        <v>0</v>
      </c>
    </row>
    <row r="13" spans="2:10" x14ac:dyDescent="0.25">
      <c r="B13" s="9" t="s">
        <v>26</v>
      </c>
      <c r="C13" s="10">
        <f>'Dev Web Estimates'!D6</f>
        <v>35.26</v>
      </c>
      <c r="D13" s="10">
        <f>'Dev Web Estimates'!E6</f>
        <v>59.28</v>
      </c>
      <c r="E13" s="11" t="s">
        <v>27</v>
      </c>
      <c r="F13" s="10">
        <f>'Dev Web Estimates'!J6</f>
        <v>5.61</v>
      </c>
      <c r="G13" s="10">
        <f>'Dev Web Estimates'!K6</f>
        <v>26.94</v>
      </c>
      <c r="H13" s="12">
        <f>ROUND((C13+D13)/2,2)</f>
        <v>47.27</v>
      </c>
      <c r="I13" s="13">
        <v>1</v>
      </c>
      <c r="J13" s="12">
        <f>ROUND(H13/($C$48*I13),2)</f>
        <v>1.18</v>
      </c>
    </row>
    <row r="14" spans="2:10" x14ac:dyDescent="0.25">
      <c r="B14" s="9" t="s">
        <v>28</v>
      </c>
      <c r="C14" s="10">
        <f>'QA Estimates'!D6</f>
        <v>13</v>
      </c>
      <c r="D14" s="10">
        <f>'QA Estimates'!E6</f>
        <v>24.2</v>
      </c>
      <c r="E14" s="11" t="s">
        <v>29</v>
      </c>
      <c r="F14" s="10">
        <f>'QA Estimates'!J6</f>
        <v>1.49</v>
      </c>
      <c r="G14" s="10">
        <f>'QA Estimates'!K6</f>
        <v>7.18</v>
      </c>
      <c r="H14" s="12">
        <f>ROUND((C14+D14)/2,2)</f>
        <v>18.6</v>
      </c>
      <c r="I14" s="13">
        <v>1</v>
      </c>
      <c r="J14" s="12">
        <f>ROUND(H14/($C$48*I14),2)</f>
        <v>0.47</v>
      </c>
    </row>
    <row r="15" spans="2:10" x14ac:dyDescent="0.25">
      <c r="B15" s="9" t="s">
        <v>30</v>
      </c>
      <c r="C15" s="10">
        <f>'Other Estimates'!D10</f>
        <v>0</v>
      </c>
      <c r="D15" s="10">
        <f>'Other Estimates'!E10</f>
        <v>0</v>
      </c>
      <c r="E15" s="11" t="s">
        <v>31</v>
      </c>
      <c r="F15" s="10">
        <f>'Other Estimates'!J10</f>
        <v>0</v>
      </c>
      <c r="G15" s="10">
        <f>'Other Estimates'!K10</f>
        <v>0</v>
      </c>
      <c r="H15" s="12">
        <f>ROUND((C15+D15)/2,2)</f>
        <v>0</v>
      </c>
      <c r="I15" s="13">
        <v>1</v>
      </c>
      <c r="J15" s="12">
        <f>ROUND(H15/($C$48*I15),2)</f>
        <v>0</v>
      </c>
    </row>
    <row r="16" spans="2:10" x14ac:dyDescent="0.25">
      <c r="B16" s="9" t="s">
        <v>32</v>
      </c>
      <c r="C16" s="10">
        <f>'Other Estimates'!D16</f>
        <v>4</v>
      </c>
      <c r="D16" s="10">
        <f>'Other Estimates'!E16</f>
        <v>8</v>
      </c>
      <c r="E16" s="11" t="s">
        <v>31</v>
      </c>
      <c r="F16" s="10">
        <f>'Other Estimates'!J16</f>
        <v>0</v>
      </c>
      <c r="G16" s="10">
        <f>'Other Estimates'!K16</f>
        <v>0</v>
      </c>
      <c r="H16" s="12">
        <f>ROUND((C16+D16)/2,2)</f>
        <v>6</v>
      </c>
      <c r="I16" s="13">
        <v>1</v>
      </c>
      <c r="J16" s="12">
        <f>ROUND(H16/($C$48*I16),2)</f>
        <v>0.15</v>
      </c>
    </row>
    <row r="17" spans="2:10" x14ac:dyDescent="0.25">
      <c r="B17" s="9" t="s">
        <v>33</v>
      </c>
      <c r="C17" s="10">
        <f>'Other Estimates'!D23</f>
        <v>0</v>
      </c>
      <c r="D17" s="10">
        <f>'Other Estimates'!E23</f>
        <v>0</v>
      </c>
      <c r="E17" s="11" t="s">
        <v>31</v>
      </c>
      <c r="F17" s="10">
        <f>'Other Estimates'!J23</f>
        <v>0</v>
      </c>
      <c r="G17" s="10">
        <f>'Other Estimates'!K23</f>
        <v>0</v>
      </c>
      <c r="H17" s="12">
        <f>ROUND((C17+D17)/2,2)</f>
        <v>0</v>
      </c>
      <c r="I17" s="13">
        <v>1</v>
      </c>
      <c r="J17" s="12">
        <f>ROUND(H17/($C$48*I17),2)</f>
        <v>0</v>
      </c>
    </row>
    <row r="18" spans="2:10" x14ac:dyDescent="0.25">
      <c r="B18" s="9" t="s">
        <v>34</v>
      </c>
      <c r="C18" s="10">
        <f>'Other Estimates'!D29</f>
        <v>0</v>
      </c>
      <c r="D18" s="10">
        <f>'Other Estimates'!E29</f>
        <v>0</v>
      </c>
      <c r="E18" s="11" t="s">
        <v>35</v>
      </c>
      <c r="F18" s="10">
        <f>'Other Estimates'!J29</f>
        <v>0</v>
      </c>
      <c r="G18" s="10">
        <f>'Other Estimates'!K29</f>
        <v>0</v>
      </c>
      <c r="H18" s="12">
        <f>ROUND((C18+D18)/2,2)</f>
        <v>0</v>
      </c>
      <c r="I18" s="13">
        <v>1</v>
      </c>
      <c r="J18" s="12">
        <f>ROUND(H18/($C$48*I18),2)</f>
        <v>0</v>
      </c>
    </row>
    <row r="19" spans="2:10" x14ac:dyDescent="0.25">
      <c r="B19" s="9" t="s">
        <v>36</v>
      </c>
      <c r="C19" s="10">
        <f>'Design Estimates'!D6</f>
        <v>0</v>
      </c>
      <c r="D19" s="10">
        <f>'Design Estimates'!E6</f>
        <v>0</v>
      </c>
      <c r="E19" s="11" t="s">
        <v>37</v>
      </c>
      <c r="F19" s="10">
        <f>'Design Estimates'!J6</f>
        <v>0</v>
      </c>
      <c r="G19" s="10">
        <f>'Design Estimates'!K6</f>
        <v>0</v>
      </c>
      <c r="H19" s="12">
        <f>ROUND((C19+D19)/2,2)</f>
        <v>0</v>
      </c>
      <c r="I19" s="13">
        <v>1</v>
      </c>
      <c r="J19" s="12">
        <f>ROUND(H19/($C$48*I19),2)</f>
        <v>0</v>
      </c>
    </row>
    <row r="20" spans="2:8" x14ac:dyDescent="0.25">
      <c r="B20" s="11" t="s">
        <v>38</v>
      </c>
      <c r="C20" s="14">
        <f>SUM(C11:C18)+IF($C$47="Yes",C19,0)</f>
        <v>79.52</v>
      </c>
      <c r="D20" s="14">
        <f>SUM(D11:D18)+IF($C$47="Yes",D19,0)</f>
        <v>141.21</v>
      </c>
      <c r="F20" s="14">
        <f>SUM(F11:F19)+F21</f>
        <v>12.66</v>
      </c>
      <c r="G20" s="14">
        <f>SUM(G11:G19)+G21</f>
        <v>64.09</v>
      </c>
      <c r="H20" s="14">
        <f>ROUND((C20+D20)/2,2)</f>
        <v>110.37</v>
      </c>
    </row>
    <row r="21" spans="2:7" x14ac:dyDescent="0.25">
      <c r="B21" s="9" t="s">
        <v>39</v>
      </c>
      <c r="F21" s="10">
        <v>0.98</v>
      </c>
      <c r="G21" s="10">
        <v>8.02</v>
      </c>
    </row>
    <row r="23" spans="2:2" x14ac:dyDescent="0.25">
      <c r="B23" s="3" t="s">
        <v>40</v>
      </c>
    </row>
    <row r="24" spans="2:5" x14ac:dyDescent="0.25">
      <c r="B24" s="6" t="s">
        <v>41</v>
      </c>
      <c r="C24" s="6" t="s">
        <v>42</v>
      </c>
      <c r="D24" s="6" t="s">
        <v>43</v>
      </c>
      <c r="E24" s="6" t="s">
        <v>16</v>
      </c>
    </row>
    <row r="25" spans="2:5" x14ac:dyDescent="0.25">
      <c r="B25" s="11" t="s">
        <v>44</v>
      </c>
      <c r="C25" s="15" t="s">
        <v>45</v>
      </c>
      <c r="E25" s="11" t="s">
        <v>46</v>
      </c>
    </row>
    <row r="26" spans="2:5" x14ac:dyDescent="0.25">
      <c r="B26" s="11" t="s">
        <v>47</v>
      </c>
      <c r="C26" s="15" t="s">
        <v>48</v>
      </c>
      <c r="E26" s="11" t="s">
        <v>49</v>
      </c>
    </row>
    <row r="27" spans="2:5" x14ac:dyDescent="0.25">
      <c r="B27" s="11" t="s">
        <v>50</v>
      </c>
      <c r="C27" s="15" t="s">
        <v>51</v>
      </c>
      <c r="E27" s="11" t="s">
        <v>52</v>
      </c>
    </row>
    <row r="28" spans="2:5" x14ac:dyDescent="0.25">
      <c r="B28" s="11" t="s">
        <v>53</v>
      </c>
      <c r="C28" s="15" t="s">
        <v>48</v>
      </c>
      <c r="E28" s="11" t="s">
        <v>49</v>
      </c>
    </row>
    <row r="29" spans="2:5" x14ac:dyDescent="0.25">
      <c r="B29" s="11" t="s">
        <v>54</v>
      </c>
      <c r="C29" s="15" t="s">
        <v>48</v>
      </c>
      <c r="E29" s="11" t="s">
        <v>49</v>
      </c>
    </row>
    <row r="30" spans="2:5" x14ac:dyDescent="0.25">
      <c r="B30" s="11" t="s">
        <v>55</v>
      </c>
      <c r="C30" s="15" t="s">
        <v>48</v>
      </c>
      <c r="E30" s="11" t="s">
        <v>49</v>
      </c>
    </row>
    <row r="31" spans="2:5" x14ac:dyDescent="0.25">
      <c r="B31" s="11" t="s">
        <v>56</v>
      </c>
      <c r="C31" s="15" t="s">
        <v>48</v>
      </c>
      <c r="E31" s="11" t="s">
        <v>49</v>
      </c>
    </row>
    <row r="32" spans="2:5" x14ac:dyDescent="0.25">
      <c r="B32" s="11" t="s">
        <v>57</v>
      </c>
      <c r="C32" s="15" t="s">
        <v>58</v>
      </c>
      <c r="E32" s="11" t="s">
        <v>43</v>
      </c>
    </row>
    <row r="46" spans="2:2" x14ac:dyDescent="0.25">
      <c r="B46" s="3" t="s">
        <v>59</v>
      </c>
    </row>
    <row r="47" spans="2:3" x14ac:dyDescent="0.25">
      <c r="B47" s="3" t="s">
        <v>60</v>
      </c>
      <c r="C47" s="4" t="s">
        <v>61</v>
      </c>
    </row>
    <row r="48" spans="2:3" x14ac:dyDescent="0.25">
      <c r="B48" s="3" t="s">
        <v>62</v>
      </c>
      <c r="C48" s="4">
        <v>40</v>
      </c>
    </row>
    <row r="49" spans="2:3" x14ac:dyDescent="0.25">
      <c r="B49" s="3" t="s">
        <v>63</v>
      </c>
      <c r="C49" s="4">
        <v>2</v>
      </c>
    </row>
    <row r="50" spans="2:3" x14ac:dyDescent="0.25">
      <c r="B50" s="3" t="s">
        <v>64</v>
      </c>
      <c r="C50" s="4" t="s">
        <v>65</v>
      </c>
    </row>
    <row r="51" spans="2:3" x14ac:dyDescent="0.25">
      <c r="B51" s="3" t="s">
        <v>66</v>
      </c>
      <c r="C51" s="4" t="s">
        <v>67</v>
      </c>
    </row>
    <row r="52" spans="2:3" x14ac:dyDescent="0.25">
      <c r="B52" s="3" t="s">
        <v>68</v>
      </c>
      <c r="C52" s="4" t="s">
        <v>69</v>
      </c>
    </row>
    <row r="55" spans="2:2" x14ac:dyDescent="0.25">
      <c r="B55" s="3" t="s">
        <v>70</v>
      </c>
    </row>
    <row r="56" spans="2:5" x14ac:dyDescent="0.25">
      <c r="B56" s="6" t="s">
        <v>71</v>
      </c>
      <c r="C56" s="6" t="s">
        <v>72</v>
      </c>
      <c r="D56" s="6" t="s">
        <v>73</v>
      </c>
      <c r="E56" s="6" t="s">
        <v>74</v>
      </c>
    </row>
    <row r="57" spans="2:5" x14ac:dyDescent="0.25">
      <c r="B57" s="11" t="s">
        <v>75</v>
      </c>
      <c r="C57" s="16">
        <v>0.51</v>
      </c>
      <c r="D57" s="16">
        <v>7.07</v>
      </c>
      <c r="E57" s="11" t="s">
        <v>76</v>
      </c>
    </row>
    <row r="58" spans="2:5" x14ac:dyDescent="0.25">
      <c r="B58" s="11" t="s">
        <v>77</v>
      </c>
      <c r="C58" s="16">
        <v>0.47</v>
      </c>
      <c r="D58" s="16">
        <v>0.95</v>
      </c>
      <c r="E58" s="11" t="s">
        <v>78</v>
      </c>
    </row>
    <row r="59" spans="2:5" x14ac:dyDescent="0.25">
      <c r="B59" s="11" t="s">
        <v>79</v>
      </c>
      <c r="C59" s="16">
        <v>11.62</v>
      </c>
      <c r="D59" s="16">
        <v>54.33</v>
      </c>
      <c r="E59" s="11" t="s">
        <v>80</v>
      </c>
    </row>
    <row r="60" spans="2:5" x14ac:dyDescent="0.25">
      <c r="B60" s="11" t="s">
        <v>81</v>
      </c>
      <c r="C60" s="16">
        <v>0.06</v>
      </c>
      <c r="D60" s="16">
        <v>1.74</v>
      </c>
      <c r="E60" s="11" t="s">
        <v>82</v>
      </c>
    </row>
    <row r="61" spans="2:4" x14ac:dyDescent="0.25">
      <c r="B61" s="3" t="s">
        <v>83</v>
      </c>
      <c r="C61" s="17">
        <f>SUM(C57:C60)</f>
        <v>12.66</v>
      </c>
      <c r="D61" s="17">
        <f>SUM(D57:D60)</f>
        <v>64.09</v>
      </c>
    </row>
    <row r="62" spans="2:3" x14ac:dyDescent="0.25">
      <c r="B62" s="3" t="s">
        <v>84</v>
      </c>
      <c r="C62" s="4" t="s">
        <v>85</v>
      </c>
    </row>
    <row r="63" spans="2:3" x14ac:dyDescent="0.25">
      <c r="B63" s="3" t="s">
        <v>86</v>
      </c>
      <c r="C63" s="4" t="s">
        <v>87</v>
      </c>
    </row>
    <row r="65" spans="2:2" x14ac:dyDescent="0.25">
      <c r="B65" s="3" t="s">
        <v>88</v>
      </c>
    </row>
    <row r="66" spans="2:2" x14ac:dyDescent="0.25">
      <c r="B66" s="11" t="s">
        <v>89</v>
      </c>
    </row>
    <row r="67" spans="2:3" x14ac:dyDescent="0.25">
      <c r="B67" s="11" t="s">
        <v>90</v>
      </c>
      <c r="C67" s="4" t="s">
        <v>91</v>
      </c>
    </row>
    <row r="68" spans="2:3" x14ac:dyDescent="0.25">
      <c r="B68" s="11" t="s">
        <v>92</v>
      </c>
      <c r="C68" s="4" t="s">
        <v>93</v>
      </c>
    </row>
    <row r="69" spans="2:4" x14ac:dyDescent="0.25">
      <c r="B69" s="6" t="s">
        <v>94</v>
      </c>
      <c r="C69" s="6" t="s">
        <v>14</v>
      </c>
      <c r="D69" s="6" t="s">
        <v>15</v>
      </c>
    </row>
    <row r="70" spans="2:4" x14ac:dyDescent="0.25">
      <c r="B70" s="11" t="s">
        <v>95</v>
      </c>
      <c r="C70" s="16">
        <v>71.52</v>
      </c>
      <c r="D70" s="16">
        <v>125.21</v>
      </c>
    </row>
    <row r="71" spans="2:4" x14ac:dyDescent="0.25">
      <c r="B71" s="11" t="s">
        <v>96</v>
      </c>
      <c r="C71" s="16">
        <v>8</v>
      </c>
      <c r="D71" s="16">
        <v>16</v>
      </c>
    </row>
    <row r="73" spans="2:2" x14ac:dyDescent="0.25">
      <c r="B73" s="3" t="s">
        <v>97</v>
      </c>
    </row>
    <row r="74" spans="2:3" x14ac:dyDescent="0.25">
      <c r="B74" s="11" t="s">
        <v>98</v>
      </c>
      <c r="C74" s="16">
        <v>15</v>
      </c>
    </row>
    <row r="75" spans="2:4" x14ac:dyDescent="0.25">
      <c r="B75" s="11" t="s">
        <v>99</v>
      </c>
      <c r="C75" s="16">
        <v>3.71</v>
      </c>
      <c r="D75" s="16">
        <v>6.51</v>
      </c>
    </row>
    <row r="77" spans="2:2" x14ac:dyDescent="0.25">
      <c r="B77" s="3" t="s">
        <v>100</v>
      </c>
    </row>
    <row r="78" spans="2:2" x14ac:dyDescent="0.25">
      <c r="B78" s="11" t="s">
        <v>101</v>
      </c>
    </row>
    <row r="79" spans="2:2" x14ac:dyDescent="0.25">
      <c r="B79" s="11" t="s">
        <v>102</v>
      </c>
    </row>
    <row r="80" spans="2:2" x14ac:dyDescent="0.25">
      <c r="B80" s="11" t="s">
        <v>103</v>
      </c>
    </row>
    <row r="81" spans="2:2" x14ac:dyDescent="0.25">
      <c r="B81" s="11" t="s">
        <v>104</v>
      </c>
    </row>
    <row r="82" spans="2:2" x14ac:dyDescent="0.25">
      <c r="B82" s="11" t="s">
        <v>105</v>
      </c>
    </row>
    <row r="83" spans="2:2" x14ac:dyDescent="0.25">
      <c r="B83" s="11" t="s">
        <v>106</v>
      </c>
    </row>
  </sheetData>
  <mergeCells count="4">
    <mergeCell ref="B2:E2"/>
    <mergeCell ref="B3:E3"/>
    <mergeCell ref="C9:D9"/>
    <mergeCell ref="F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4"/>
  <sheetFormatPr defaultRowHeight="15" outlineLevelRow="0" outlineLevelCol="0" x14ac:dyDescent="55"/>
  <cols>
    <col min="1" max="2" width="7.75" customWidth="1"/>
    <col min="3" max="3" width="47.38" customWidth="1"/>
    <col min="4" max="4" width="16.75" customWidth="1"/>
    <col min="5" max="5" width="16.13" customWidth="1"/>
    <col min="6" max="6" width="84.88" customWidth="1"/>
    <col min="7" max="7" width="11" customWidth="1"/>
    <col min="8" max="8" width="22" customWidth="1"/>
    <col min="9" max="9" width="13" customWidth="1"/>
    <col min="10" max="11" width="12" customWidth="1"/>
    <col min="12" max="26" width="7.75" customWidth="1"/>
  </cols>
  <sheetData>
    <row r="2" spans="2:6" x14ac:dyDescent="0.25">
      <c r="B2" s="18" t="s">
        <v>107</v>
      </c>
      <c r="C2" s="18"/>
      <c r="D2" s="18"/>
      <c r="E2" s="18"/>
      <c r="F2" s="18"/>
    </row>
    <row r="3" spans="2:6" x14ac:dyDescent="0.25">
      <c r="B3" s="19" t="s">
        <v>8</v>
      </c>
      <c r="C3" s="19"/>
      <c r="D3" s="19"/>
      <c r="E3" s="19"/>
      <c r="F3" s="19"/>
    </row>
    <row r="4" spans="2:6" x14ac:dyDescent="0.25">
      <c r="B4" s="20" t="s">
        <v>108</v>
      </c>
      <c r="C4" s="20"/>
      <c r="D4" s="20"/>
      <c r="E4" s="20"/>
      <c r="F4" s="20"/>
    </row>
    <row r="6" spans="3:11" x14ac:dyDescent="0.25">
      <c r="C6" s="21" t="s">
        <v>109</v>
      </c>
      <c r="D6" s="22">
        <f>D16+D21+D26</f>
        <v>27.26</v>
      </c>
      <c r="E6" s="22">
        <f>E16+E21+E26</f>
        <v>49.73</v>
      </c>
      <c r="F6" s="23" t="s">
        <v>110</v>
      </c>
      <c r="I6" s="21" t="s">
        <v>111</v>
      </c>
      <c r="J6" s="22">
        <f>J16+J21+J26</f>
        <v>4.58</v>
      </c>
      <c r="K6" s="22">
        <f>K16+K21+K26</f>
        <v>21.95</v>
      </c>
    </row>
    <row r="8" spans="2:11" x14ac:dyDescent="0.25">
      <c r="B8" s="24" t="s">
        <v>112</v>
      </c>
      <c r="C8" s="25" t="s">
        <v>113</v>
      </c>
      <c r="D8" s="26" t="s">
        <v>14</v>
      </c>
      <c r="E8" s="26" t="s">
        <v>15</v>
      </c>
      <c r="F8" s="24" t="s">
        <v>16</v>
      </c>
      <c r="G8" s="24" t="s">
        <v>90</v>
      </c>
      <c r="H8" s="24" t="s">
        <v>114</v>
      </c>
      <c r="I8" s="24" t="s">
        <v>115</v>
      </c>
      <c r="J8" s="24" t="s">
        <v>17</v>
      </c>
      <c r="K8" s="24" t="s">
        <v>18</v>
      </c>
    </row>
    <row r="9" spans="2:11" x14ac:dyDescent="0.25">
      <c r="B9" s="27">
        <v>1</v>
      </c>
      <c r="C9" s="28" t="s">
        <v>116</v>
      </c>
      <c r="D9" s="29">
        <f>SUM(D10:D14)</f>
        <v>27.26</v>
      </c>
      <c r="E9" s="29">
        <f>SUM(E10:E14)</f>
        <v>49.73</v>
      </c>
      <c r="F9" s="30" t="s">
        <v>43</v>
      </c>
      <c r="J9" s="16">
        <f>SUM(J10:J14)</f>
        <v>4.58</v>
      </c>
      <c r="K9" s="16">
        <f>SUM(K10:K14)</f>
        <v>21.95</v>
      </c>
    </row>
    <row r="10" spans="2:11" x14ac:dyDescent="0.25">
      <c r="B10" s="11" t="s">
        <v>43</v>
      </c>
      <c r="C10" s="31" t="s">
        <v>117</v>
      </c>
      <c r="D10" s="32">
        <v>2.88</v>
      </c>
      <c r="E10" s="32">
        <v>5.76</v>
      </c>
      <c r="F10" s="9" t="s">
        <v>118</v>
      </c>
      <c r="G10" t="s">
        <v>95</v>
      </c>
      <c r="H10" t="s">
        <v>119</v>
      </c>
      <c r="I10" t="s">
        <v>120</v>
      </c>
      <c r="J10" s="16">
        <v>0.51</v>
      </c>
      <c r="K10" s="16">
        <v>2.46</v>
      </c>
    </row>
    <row r="11" spans="2:11" x14ac:dyDescent="0.25">
      <c r="B11" s="11" t="s">
        <v>43</v>
      </c>
      <c r="C11" s="31" t="s">
        <v>121</v>
      </c>
      <c r="D11" s="32">
        <v>3.24</v>
      </c>
      <c r="E11" s="32">
        <v>6.48</v>
      </c>
      <c r="F11" s="9" t="s">
        <v>122</v>
      </c>
      <c r="G11" t="s">
        <v>95</v>
      </c>
      <c r="H11" t="s">
        <v>123</v>
      </c>
      <c r="I11" t="s">
        <v>124</v>
      </c>
      <c r="J11" s="16">
        <v>0.58</v>
      </c>
      <c r="K11" s="16">
        <v>2.77</v>
      </c>
    </row>
    <row r="12" spans="2:11" x14ac:dyDescent="0.25">
      <c r="B12" s="11" t="s">
        <v>43</v>
      </c>
      <c r="C12" s="31" t="s">
        <v>125</v>
      </c>
      <c r="D12" s="32">
        <v>1.94</v>
      </c>
      <c r="E12" s="32">
        <v>3.89</v>
      </c>
      <c r="F12" s="9" t="s">
        <v>126</v>
      </c>
      <c r="G12" t="s">
        <v>95</v>
      </c>
      <c r="H12" t="s">
        <v>127</v>
      </c>
      <c r="I12" t="s">
        <v>128</v>
      </c>
      <c r="J12" s="16">
        <v>0.35</v>
      </c>
      <c r="K12" s="16">
        <v>1.66</v>
      </c>
    </row>
    <row r="13" spans="2:11" x14ac:dyDescent="0.25">
      <c r="B13" s="11" t="s">
        <v>43</v>
      </c>
      <c r="C13" s="31" t="s">
        <v>129</v>
      </c>
      <c r="D13" s="32">
        <v>9.6</v>
      </c>
      <c r="E13" s="32">
        <v>16.8</v>
      </c>
      <c r="F13" s="9" t="s">
        <v>130</v>
      </c>
      <c r="G13" t="s">
        <v>95</v>
      </c>
      <c r="H13" t="s">
        <v>131</v>
      </c>
      <c r="I13" t="s">
        <v>132</v>
      </c>
      <c r="J13" s="16">
        <v>1.57</v>
      </c>
      <c r="K13" s="16">
        <v>7.53</v>
      </c>
    </row>
    <row r="14" spans="2:11" x14ac:dyDescent="0.25">
      <c r="B14" s="11" t="s">
        <v>43</v>
      </c>
      <c r="C14" s="31" t="s">
        <v>133</v>
      </c>
      <c r="D14" s="32">
        <v>9.6</v>
      </c>
      <c r="E14" s="32">
        <v>16.8</v>
      </c>
      <c r="F14" s="9" t="s">
        <v>134</v>
      </c>
      <c r="G14" t="s">
        <v>95</v>
      </c>
      <c r="H14" t="s">
        <v>135</v>
      </c>
      <c r="I14" t="s">
        <v>136</v>
      </c>
      <c r="J14" s="16">
        <v>1.57</v>
      </c>
      <c r="K14" s="16">
        <v>7.53</v>
      </c>
    </row>
    <row r="16" spans="2:11" x14ac:dyDescent="0.25">
      <c r="B16" s="33" t="s">
        <v>43</v>
      </c>
      <c r="C16" s="33" t="s">
        <v>137</v>
      </c>
      <c r="D16" s="34">
        <f>D9</f>
        <v>27.26</v>
      </c>
      <c r="E16" s="34">
        <f>E9</f>
        <v>49.73</v>
      </c>
      <c r="F16" s="35" t="s">
        <v>43</v>
      </c>
      <c r="J16" s="17">
        <f>J9</f>
        <v>4.58</v>
      </c>
      <c r="K16" s="17">
        <f>K9</f>
        <v>21.95</v>
      </c>
    </row>
    <row r="19" spans="2:11" x14ac:dyDescent="0.25">
      <c r="B19" s="24" t="s">
        <v>112</v>
      </c>
      <c r="C19" s="25" t="s">
        <v>138</v>
      </c>
      <c r="D19" s="26" t="s">
        <v>14</v>
      </c>
      <c r="E19" s="26" t="s">
        <v>15</v>
      </c>
      <c r="F19" s="24" t="s">
        <v>16</v>
      </c>
      <c r="G19" s="24" t="s">
        <v>90</v>
      </c>
      <c r="H19" s="24" t="s">
        <v>114</v>
      </c>
      <c r="I19" s="24" t="s">
        <v>115</v>
      </c>
      <c r="J19" s="24" t="s">
        <v>17</v>
      </c>
      <c r="K19" s="24" t="s">
        <v>18</v>
      </c>
    </row>
    <row r="20" spans="2:11" x14ac:dyDescent="0.25">
      <c r="B20" s="11">
        <v>1</v>
      </c>
      <c r="C20" s="31" t="s">
        <v>139</v>
      </c>
      <c r="D20" s="32">
        <v>0</v>
      </c>
      <c r="E20" s="32">
        <v>0</v>
      </c>
      <c r="F20" s="9" t="s">
        <v>43</v>
      </c>
      <c r="J20" s="16">
        <v>0</v>
      </c>
      <c r="K20" s="16">
        <v>0</v>
      </c>
    </row>
    <row r="21" spans="2:11" x14ac:dyDescent="0.25">
      <c r="B21" s="33" t="s">
        <v>43</v>
      </c>
      <c r="C21" s="33" t="s">
        <v>140</v>
      </c>
      <c r="D21" s="34">
        <f>SUM(D20:D20)</f>
        <v>0</v>
      </c>
      <c r="E21" s="34">
        <f>SUM(E20:E20)</f>
        <v>0</v>
      </c>
      <c r="F21" s="35" t="s">
        <v>43</v>
      </c>
      <c r="J21" s="17">
        <f>SUM(J20:J20)</f>
        <v>0</v>
      </c>
      <c r="K21" s="17">
        <f>SUM(K20:K20)</f>
        <v>0</v>
      </c>
    </row>
    <row r="24" spans="2:11" x14ac:dyDescent="0.25">
      <c r="B24" s="24" t="s">
        <v>112</v>
      </c>
      <c r="C24" s="25" t="s">
        <v>141</v>
      </c>
      <c r="D24" s="26" t="s">
        <v>14</v>
      </c>
      <c r="E24" s="26" t="s">
        <v>15</v>
      </c>
      <c r="F24" s="24" t="s">
        <v>16</v>
      </c>
      <c r="G24" s="24" t="s">
        <v>90</v>
      </c>
      <c r="H24" s="24" t="s">
        <v>114</v>
      </c>
      <c r="I24" s="24" t="s">
        <v>115</v>
      </c>
      <c r="J24" s="24" t="s">
        <v>17</v>
      </c>
      <c r="K24" s="24" t="s">
        <v>18</v>
      </c>
    </row>
    <row r="25" spans="2:11" x14ac:dyDescent="0.25">
      <c r="B25" s="11">
        <v>1</v>
      </c>
      <c r="C25" s="31" t="s">
        <v>139</v>
      </c>
      <c r="D25" s="32">
        <v>0</v>
      </c>
      <c r="E25" s="32">
        <v>0</v>
      </c>
      <c r="F25" s="9" t="s">
        <v>142</v>
      </c>
      <c r="J25" s="16">
        <v>0</v>
      </c>
      <c r="K25" s="16">
        <v>0</v>
      </c>
    </row>
    <row r="26" spans="2:11" x14ac:dyDescent="0.25">
      <c r="B26" s="33" t="s">
        <v>43</v>
      </c>
      <c r="C26" s="33" t="s">
        <v>143</v>
      </c>
      <c r="D26" s="34">
        <f>SUM(D25:D25)</f>
        <v>0</v>
      </c>
      <c r="E26" s="34">
        <f>SUM(E25:E25)</f>
        <v>0</v>
      </c>
      <c r="F26" s="35" t="s">
        <v>43</v>
      </c>
      <c r="J26" s="17">
        <f>SUM(J25:J25)</f>
        <v>0</v>
      </c>
      <c r="K26" s="17">
        <f>SUM(K25:K25)</f>
        <v>0</v>
      </c>
    </row>
    <row r="29" spans="2:6" x14ac:dyDescent="0.25">
      <c r="B29" s="24" t="s">
        <v>112</v>
      </c>
      <c r="C29" s="25" t="s">
        <v>144</v>
      </c>
      <c r="D29" s="25"/>
      <c r="E29" s="25"/>
      <c r="F29" s="25"/>
    </row>
    <row r="30" spans="2:6" x14ac:dyDescent="0.25">
      <c r="B30" s="11">
        <v>1</v>
      </c>
      <c r="C30" s="31" t="s">
        <v>101</v>
      </c>
      <c r="D30" s="31"/>
      <c r="E30" s="31"/>
      <c r="F30" s="31"/>
    </row>
    <row r="31" spans="2:6" x14ac:dyDescent="0.25">
      <c r="B31" s="11">
        <v>2</v>
      </c>
      <c r="C31" s="31" t="s">
        <v>102</v>
      </c>
      <c r="D31" s="31"/>
      <c r="E31" s="31"/>
      <c r="F31" s="31"/>
    </row>
    <row r="32" spans="2:6" x14ac:dyDescent="0.25">
      <c r="B32" s="11">
        <v>3</v>
      </c>
      <c r="C32" s="31" t="s">
        <v>103</v>
      </c>
      <c r="D32" s="31"/>
      <c r="E32" s="31"/>
      <c r="F32" s="31"/>
    </row>
    <row r="33" spans="2:6" x14ac:dyDescent="0.25">
      <c r="B33" s="11">
        <v>4</v>
      </c>
      <c r="C33" s="31" t="s">
        <v>104</v>
      </c>
      <c r="D33" s="31"/>
      <c r="E33" s="31"/>
      <c r="F33" s="31"/>
    </row>
    <row r="34" spans="2:6" x14ac:dyDescent="0.25">
      <c r="B34" s="11">
        <v>5</v>
      </c>
      <c r="C34" s="31" t="s">
        <v>105</v>
      </c>
      <c r="D34" s="31"/>
      <c r="E34" s="31"/>
      <c r="F34" s="31"/>
    </row>
    <row r="35" spans="2:6" x14ac:dyDescent="0.25">
      <c r="B35" s="11">
        <v>6</v>
      </c>
      <c r="C35" s="31" t="s">
        <v>106</v>
      </c>
      <c r="D35" s="31"/>
      <c r="E35" s="31"/>
      <c r="F35" s="31"/>
    </row>
    <row r="38" spans="2:6" x14ac:dyDescent="0.25">
      <c r="B38" s="24" t="s">
        <v>112</v>
      </c>
      <c r="C38" s="25" t="s">
        <v>145</v>
      </c>
      <c r="D38" s="25"/>
      <c r="E38" s="25"/>
      <c r="F38" s="25"/>
    </row>
    <row r="39" spans="2:6" x14ac:dyDescent="0.25">
      <c r="B39" s="11">
        <v>1</v>
      </c>
      <c r="C39" s="31" t="s">
        <v>146</v>
      </c>
      <c r="D39" s="31"/>
      <c r="E39" s="31"/>
      <c r="F39" s="31"/>
    </row>
    <row r="40" spans="2:6" x14ac:dyDescent="0.25">
      <c r="B40" s="11">
        <v>2</v>
      </c>
      <c r="C40" s="31" t="s">
        <v>147</v>
      </c>
      <c r="D40" s="31"/>
      <c r="E40" s="31"/>
      <c r="F40" s="31"/>
    </row>
    <row r="41" spans="2:6" x14ac:dyDescent="0.25">
      <c r="B41" s="11">
        <v>3</v>
      </c>
      <c r="C41" s="31" t="s">
        <v>148</v>
      </c>
      <c r="D41" s="31"/>
      <c r="E41" s="31"/>
      <c r="F41" s="31"/>
    </row>
    <row r="42" spans="2:6" x14ac:dyDescent="0.25">
      <c r="B42" s="11">
        <v>4</v>
      </c>
      <c r="C42" s="31" t="s">
        <v>149</v>
      </c>
      <c r="D42" s="31"/>
      <c r="E42" s="31"/>
      <c r="F42" s="31"/>
    </row>
    <row r="43" spans="2:6" x14ac:dyDescent="0.25">
      <c r="B43" s="11">
        <v>5</v>
      </c>
      <c r="C43" s="31" t="s">
        <v>150</v>
      </c>
      <c r="D43" s="31"/>
      <c r="E43" s="31"/>
      <c r="F43" s="31"/>
    </row>
    <row r="44" spans="2:6" x14ac:dyDescent="0.25">
      <c r="B44" s="11">
        <v>6</v>
      </c>
      <c r="C44" s="31" t="s">
        <v>151</v>
      </c>
      <c r="D44" s="31"/>
      <c r="E44" s="31"/>
      <c r="F44" s="31"/>
    </row>
  </sheetData>
  <mergeCells count="17">
    <mergeCell ref="B2:F2"/>
    <mergeCell ref="B3:F3"/>
    <mergeCell ref="B4:F4"/>
    <mergeCell ref="C29:F29"/>
    <mergeCell ref="C30:F30"/>
    <mergeCell ref="C31:F31"/>
    <mergeCell ref="C32:F32"/>
    <mergeCell ref="C33:F33"/>
    <mergeCell ref="C34:F34"/>
    <mergeCell ref="C35:F35"/>
    <mergeCell ref="C38:F38"/>
    <mergeCell ref="C39:F39"/>
    <mergeCell ref="C40:F40"/>
    <mergeCell ref="C41:F41"/>
    <mergeCell ref="C42:F42"/>
    <mergeCell ref="C43:F43"/>
    <mergeCell ref="C44:F4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1"/>
  <sheetFormatPr defaultRowHeight="15" outlineLevelRow="0" outlineLevelCol="0" x14ac:dyDescent="55"/>
  <cols>
    <col min="1" max="2" width="7.75" customWidth="1"/>
    <col min="3" max="3" width="47.38" customWidth="1"/>
    <col min="4" max="4" width="16.75" customWidth="1"/>
    <col min="5" max="5" width="16.13" customWidth="1"/>
    <col min="6" max="6" width="84.88" customWidth="1"/>
    <col min="7" max="7" width="11" customWidth="1"/>
    <col min="8" max="8" width="22" customWidth="1"/>
    <col min="9" max="9" width="13" customWidth="1"/>
    <col min="10" max="11" width="12" customWidth="1"/>
    <col min="12" max="26" width="7.75" customWidth="1"/>
  </cols>
  <sheetData>
    <row r="2" spans="2:6" x14ac:dyDescent="0.25">
      <c r="B2" s="18" t="s">
        <v>107</v>
      </c>
      <c r="C2" s="18"/>
      <c r="D2" s="18"/>
      <c r="E2" s="18"/>
      <c r="F2" s="18"/>
    </row>
    <row r="3" spans="2:6" x14ac:dyDescent="0.25">
      <c r="B3" s="19" t="s">
        <v>8</v>
      </c>
      <c r="C3" s="19"/>
      <c r="D3" s="19"/>
      <c r="E3" s="19"/>
      <c r="F3" s="19"/>
    </row>
    <row r="4" spans="2:6" x14ac:dyDescent="0.25">
      <c r="B4" s="20" t="s">
        <v>108</v>
      </c>
      <c r="C4" s="20"/>
      <c r="D4" s="20"/>
      <c r="E4" s="20"/>
      <c r="F4" s="20"/>
    </row>
    <row r="5" spans="2:2" x14ac:dyDescent="0.25">
      <c r="B5" s="36" t="s">
        <v>152</v>
      </c>
    </row>
    <row r="6" spans="3:11" x14ac:dyDescent="0.25">
      <c r="C6" s="21" t="s">
        <v>109</v>
      </c>
      <c r="D6" s="22">
        <f>D11+D16+D21</f>
        <v>0</v>
      </c>
      <c r="E6" s="22">
        <f>E11+E16+E21</f>
        <v>0</v>
      </c>
      <c r="F6" s="23" t="s">
        <v>110</v>
      </c>
      <c r="I6" s="21" t="s">
        <v>111</v>
      </c>
      <c r="J6" s="22">
        <f>J11+J16+J21</f>
        <v>0</v>
      </c>
      <c r="K6" s="22">
        <f>K11+K16+K21</f>
        <v>0</v>
      </c>
    </row>
    <row r="8" spans="2:11" x14ac:dyDescent="0.25">
      <c r="B8" s="24" t="s">
        <v>112</v>
      </c>
      <c r="C8" s="25" t="s">
        <v>113</v>
      </c>
      <c r="D8" s="26" t="s">
        <v>14</v>
      </c>
      <c r="E8" s="26" t="s">
        <v>15</v>
      </c>
      <c r="F8" s="24" t="s">
        <v>16</v>
      </c>
      <c r="G8" s="24" t="s">
        <v>90</v>
      </c>
      <c r="H8" s="24" t="s">
        <v>114</v>
      </c>
      <c r="I8" s="24" t="s">
        <v>115</v>
      </c>
      <c r="J8" s="24" t="s">
        <v>17</v>
      </c>
      <c r="K8" s="24" t="s">
        <v>18</v>
      </c>
    </row>
    <row r="9" spans="3:11" x14ac:dyDescent="0.25">
      <c r="C9" s="31" t="s">
        <v>139</v>
      </c>
      <c r="D9" s="32">
        <v>0</v>
      </c>
      <c r="E9" s="32">
        <v>0</v>
      </c>
      <c r="J9" s="16">
        <v>0</v>
      </c>
      <c r="K9" s="16">
        <v>0</v>
      </c>
    </row>
    <row r="11" spans="2:11" x14ac:dyDescent="0.25">
      <c r="B11" s="33" t="s">
        <v>43</v>
      </c>
      <c r="C11" s="33" t="s">
        <v>137</v>
      </c>
      <c r="D11" s="34">
        <f>D9</f>
        <v>0</v>
      </c>
      <c r="E11" s="34">
        <f>E9</f>
        <v>0</v>
      </c>
      <c r="F11" s="35" t="s">
        <v>43</v>
      </c>
      <c r="J11" s="17">
        <f>J9</f>
        <v>0</v>
      </c>
      <c r="K11" s="17">
        <f>K9</f>
        <v>0</v>
      </c>
    </row>
    <row r="14" spans="2:11" x14ac:dyDescent="0.25">
      <c r="B14" s="24" t="s">
        <v>112</v>
      </c>
      <c r="C14" s="25" t="s">
        <v>138</v>
      </c>
      <c r="D14" s="26" t="s">
        <v>14</v>
      </c>
      <c r="E14" s="26" t="s">
        <v>15</v>
      </c>
      <c r="F14" s="24" t="s">
        <v>16</v>
      </c>
      <c r="G14" s="24" t="s">
        <v>90</v>
      </c>
      <c r="H14" s="24" t="s">
        <v>114</v>
      </c>
      <c r="I14" s="24" t="s">
        <v>115</v>
      </c>
      <c r="J14" s="24" t="s">
        <v>17</v>
      </c>
      <c r="K14" s="24" t="s">
        <v>18</v>
      </c>
    </row>
    <row r="15" spans="2:11" x14ac:dyDescent="0.25">
      <c r="B15" s="11">
        <v>1</v>
      </c>
      <c r="C15" s="31" t="s">
        <v>139</v>
      </c>
      <c r="D15" s="32">
        <v>0</v>
      </c>
      <c r="E15" s="32">
        <v>0</v>
      </c>
      <c r="F15" s="9" t="s">
        <v>43</v>
      </c>
      <c r="J15" s="16">
        <v>0</v>
      </c>
      <c r="K15" s="16">
        <v>0</v>
      </c>
    </row>
    <row r="16" spans="2:11" x14ac:dyDescent="0.25">
      <c r="B16" s="33" t="s">
        <v>43</v>
      </c>
      <c r="C16" s="33" t="s">
        <v>140</v>
      </c>
      <c r="D16" s="34">
        <f>SUM(D15:D15)</f>
        <v>0</v>
      </c>
      <c r="E16" s="34">
        <f>SUM(E15:E15)</f>
        <v>0</v>
      </c>
      <c r="F16" s="35" t="s">
        <v>43</v>
      </c>
      <c r="J16" s="17">
        <f>SUM(J15:J15)</f>
        <v>0</v>
      </c>
      <c r="K16" s="17">
        <f>SUM(K15:K15)</f>
        <v>0</v>
      </c>
    </row>
    <row r="19" spans="2:11" x14ac:dyDescent="0.25">
      <c r="B19" s="24" t="s">
        <v>112</v>
      </c>
      <c r="C19" s="25" t="s">
        <v>141</v>
      </c>
      <c r="D19" s="26" t="s">
        <v>14</v>
      </c>
      <c r="E19" s="26" t="s">
        <v>15</v>
      </c>
      <c r="F19" s="24" t="s">
        <v>16</v>
      </c>
      <c r="G19" s="24" t="s">
        <v>90</v>
      </c>
      <c r="H19" s="24" t="s">
        <v>114</v>
      </c>
      <c r="I19" s="24" t="s">
        <v>115</v>
      </c>
      <c r="J19" s="24" t="s">
        <v>17</v>
      </c>
      <c r="K19" s="24" t="s">
        <v>18</v>
      </c>
    </row>
    <row r="20" spans="2:11" x14ac:dyDescent="0.25">
      <c r="B20" s="11">
        <v>1</v>
      </c>
      <c r="C20" s="31" t="s">
        <v>139</v>
      </c>
      <c r="D20" s="32">
        <v>0</v>
      </c>
      <c r="E20" s="32">
        <v>0</v>
      </c>
      <c r="F20" s="9" t="s">
        <v>142</v>
      </c>
      <c r="J20" s="16">
        <v>0</v>
      </c>
      <c r="K20" s="16">
        <v>0</v>
      </c>
    </row>
    <row r="21" spans="2:11" x14ac:dyDescent="0.25">
      <c r="B21" s="33" t="s">
        <v>43</v>
      </c>
      <c r="C21" s="33" t="s">
        <v>143</v>
      </c>
      <c r="D21" s="34">
        <f>SUM(D20:D20)</f>
        <v>0</v>
      </c>
      <c r="E21" s="34">
        <f>SUM(E20:E20)</f>
        <v>0</v>
      </c>
      <c r="F21" s="35" t="s">
        <v>43</v>
      </c>
      <c r="J21" s="17">
        <f>SUM(J20:J20)</f>
        <v>0</v>
      </c>
      <c r="K21" s="17">
        <f>SUM(K20:K20)</f>
        <v>0</v>
      </c>
    </row>
  </sheetData>
  <mergeCells count="3">
    <mergeCell ref="B2:F2"/>
    <mergeCell ref="B3:F3"/>
    <mergeCell ref="B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2"/>
  <sheetFormatPr defaultRowHeight="15" outlineLevelRow="0" outlineLevelCol="0" x14ac:dyDescent="55"/>
  <cols>
    <col min="1" max="2" width="7.75" customWidth="1"/>
    <col min="3" max="3" width="47.38" customWidth="1"/>
    <col min="4" max="4" width="16.75" customWidth="1"/>
    <col min="5" max="5" width="16.13" customWidth="1"/>
    <col min="6" max="6" width="84.88" customWidth="1"/>
    <col min="7" max="7" width="11" customWidth="1"/>
    <col min="8" max="8" width="22" customWidth="1"/>
    <col min="9" max="9" width="13" customWidth="1"/>
    <col min="10" max="11" width="12" customWidth="1"/>
    <col min="12" max="26" width="7.75" customWidth="1"/>
  </cols>
  <sheetData>
    <row r="2" spans="2:6" x14ac:dyDescent="0.25">
      <c r="B2" s="18" t="s">
        <v>107</v>
      </c>
      <c r="C2" s="18"/>
      <c r="D2" s="18"/>
      <c r="E2" s="18"/>
      <c r="F2" s="18"/>
    </row>
    <row r="3" spans="2:6" x14ac:dyDescent="0.25">
      <c r="B3" s="19" t="s">
        <v>8</v>
      </c>
      <c r="C3" s="19"/>
      <c r="D3" s="19"/>
      <c r="E3" s="19"/>
      <c r="F3" s="19"/>
    </row>
    <row r="4" spans="2:6" x14ac:dyDescent="0.25">
      <c r="B4" s="20" t="s">
        <v>108</v>
      </c>
      <c r="C4" s="20"/>
      <c r="D4" s="20"/>
      <c r="E4" s="20"/>
      <c r="F4" s="20"/>
    </row>
    <row r="6" spans="3:11" x14ac:dyDescent="0.25">
      <c r="C6" s="21" t="s">
        <v>109</v>
      </c>
      <c r="D6" s="22">
        <f>D19+D24+D29</f>
        <v>35.26</v>
      </c>
      <c r="E6" s="22">
        <f>E19+E24+E29</f>
        <v>59.28</v>
      </c>
      <c r="F6" s="23" t="s">
        <v>110</v>
      </c>
      <c r="I6" s="21" t="s">
        <v>111</v>
      </c>
      <c r="J6" s="22">
        <f>J19+J24+J29</f>
        <v>5.61</v>
      </c>
      <c r="K6" s="22">
        <f>K19+K24+K29</f>
        <v>26.94</v>
      </c>
    </row>
    <row r="8" spans="2:11" x14ac:dyDescent="0.25">
      <c r="B8" s="24" t="s">
        <v>112</v>
      </c>
      <c r="C8" s="25" t="s">
        <v>113</v>
      </c>
      <c r="D8" s="26" t="s">
        <v>14</v>
      </c>
      <c r="E8" s="26" t="s">
        <v>15</v>
      </c>
      <c r="F8" s="24" t="s">
        <v>16</v>
      </c>
      <c r="G8" s="24" t="s">
        <v>90</v>
      </c>
      <c r="H8" s="24" t="s">
        <v>114</v>
      </c>
      <c r="I8" s="24" t="s">
        <v>115</v>
      </c>
      <c r="J8" s="24" t="s">
        <v>17</v>
      </c>
      <c r="K8" s="24" t="s">
        <v>18</v>
      </c>
    </row>
    <row r="9" spans="2:11" x14ac:dyDescent="0.25">
      <c r="B9" s="27">
        <v>1</v>
      </c>
      <c r="C9" s="28" t="s">
        <v>153</v>
      </c>
      <c r="D9" s="29">
        <f>SUM(D10:D11)</f>
        <v>14.98</v>
      </c>
      <c r="E9" s="29">
        <f>SUM(E10:E11)</f>
        <v>24.96</v>
      </c>
      <c r="F9" s="30" t="s">
        <v>43</v>
      </c>
      <c r="J9" s="16">
        <f>SUM(J10:J11)</f>
        <v>2.37</v>
      </c>
      <c r="K9" s="16">
        <f>SUM(K10:K11)</f>
        <v>11.38</v>
      </c>
    </row>
    <row r="10" spans="2:11" x14ac:dyDescent="0.25">
      <c r="B10" s="11" t="s">
        <v>43</v>
      </c>
      <c r="C10" s="31" t="s">
        <v>154</v>
      </c>
      <c r="D10" s="32">
        <v>9.36</v>
      </c>
      <c r="E10" s="32">
        <v>15.6</v>
      </c>
      <c r="F10" s="9" t="s">
        <v>155</v>
      </c>
      <c r="G10" t="s">
        <v>95</v>
      </c>
      <c r="H10" t="s">
        <v>156</v>
      </c>
      <c r="I10" t="s">
        <v>157</v>
      </c>
      <c r="J10" s="16">
        <v>1.48</v>
      </c>
      <c r="K10" s="16">
        <v>7.11</v>
      </c>
    </row>
    <row r="11" spans="2:11" x14ac:dyDescent="0.25">
      <c r="B11" s="11" t="s">
        <v>43</v>
      </c>
      <c r="C11" s="31" t="s">
        <v>158</v>
      </c>
      <c r="D11" s="32">
        <v>5.62</v>
      </c>
      <c r="E11" s="32">
        <v>9.36</v>
      </c>
      <c r="F11" s="9" t="s">
        <v>159</v>
      </c>
      <c r="G11" t="s">
        <v>95</v>
      </c>
      <c r="H11" t="s">
        <v>160</v>
      </c>
      <c r="I11" t="s">
        <v>161</v>
      </c>
      <c r="J11" s="16">
        <v>0.89</v>
      </c>
      <c r="K11" s="16">
        <v>4.27</v>
      </c>
    </row>
    <row r="13" spans="2:11" x14ac:dyDescent="0.25">
      <c r="B13" s="27">
        <v>2</v>
      </c>
      <c r="C13" s="28" t="s">
        <v>162</v>
      </c>
      <c r="D13" s="29">
        <f>SUM(D14:D14)</f>
        <v>7.8</v>
      </c>
      <c r="E13" s="29">
        <f>SUM(E14:E14)</f>
        <v>12.48</v>
      </c>
      <c r="F13" s="30" t="s">
        <v>43</v>
      </c>
      <c r="J13" s="16">
        <f>SUM(J14:J14)</f>
        <v>1.2</v>
      </c>
      <c r="K13" s="16">
        <f>SUM(K14:K14)</f>
        <v>5.78</v>
      </c>
    </row>
    <row r="14" spans="2:11" x14ac:dyDescent="0.25">
      <c r="B14" s="11" t="s">
        <v>43</v>
      </c>
      <c r="C14" s="31" t="s">
        <v>163</v>
      </c>
      <c r="D14" s="32">
        <v>7.8</v>
      </c>
      <c r="E14" s="32">
        <v>12.48</v>
      </c>
      <c r="F14" s="9" t="s">
        <v>164</v>
      </c>
      <c r="G14" t="s">
        <v>95</v>
      </c>
      <c r="H14" t="s">
        <v>165</v>
      </c>
      <c r="I14" t="s">
        <v>166</v>
      </c>
      <c r="J14" s="16">
        <v>1.2</v>
      </c>
      <c r="K14" s="16">
        <v>5.78</v>
      </c>
    </row>
    <row r="16" spans="2:11" x14ac:dyDescent="0.25">
      <c r="B16" s="27">
        <v>3</v>
      </c>
      <c r="C16" s="28" t="s">
        <v>167</v>
      </c>
      <c r="D16" s="29">
        <f>SUM(D17:D17)</f>
        <v>12.48</v>
      </c>
      <c r="E16" s="29">
        <f>SUM(E17:E17)</f>
        <v>21.84</v>
      </c>
      <c r="F16" s="30" t="s">
        <v>43</v>
      </c>
      <c r="J16" s="16">
        <f>SUM(J17:J17)</f>
        <v>2.04</v>
      </c>
      <c r="K16" s="16">
        <f>SUM(K17:K17)</f>
        <v>9.78</v>
      </c>
    </row>
    <row r="17" spans="2:11" x14ac:dyDescent="0.25">
      <c r="B17" s="11" t="s">
        <v>43</v>
      </c>
      <c r="C17" s="31" t="s">
        <v>168</v>
      </c>
      <c r="D17" s="32">
        <v>12.48</v>
      </c>
      <c r="E17" s="32">
        <v>21.84</v>
      </c>
      <c r="F17" s="9" t="s">
        <v>169</v>
      </c>
      <c r="G17" t="s">
        <v>95</v>
      </c>
      <c r="H17" t="s">
        <v>170</v>
      </c>
      <c r="I17" t="s">
        <v>171</v>
      </c>
      <c r="J17" s="16">
        <v>2.04</v>
      </c>
      <c r="K17" s="16">
        <v>9.78</v>
      </c>
    </row>
    <row r="19" spans="2:11" x14ac:dyDescent="0.25">
      <c r="B19" s="33" t="s">
        <v>43</v>
      </c>
      <c r="C19" s="33" t="s">
        <v>137</v>
      </c>
      <c r="D19" s="34">
        <f>D9+D13+D16</f>
        <v>35.26</v>
      </c>
      <c r="E19" s="34">
        <f>E9+E13+E16</f>
        <v>59.28</v>
      </c>
      <c r="F19" s="35" t="s">
        <v>43</v>
      </c>
      <c r="J19" s="17">
        <f>J9+J13+J16</f>
        <v>5.61</v>
      </c>
      <c r="K19" s="17">
        <f>K9+K13+K16</f>
        <v>26.94</v>
      </c>
    </row>
    <row r="22" spans="2:11" x14ac:dyDescent="0.25">
      <c r="B22" s="24" t="s">
        <v>112</v>
      </c>
      <c r="C22" s="25" t="s">
        <v>138</v>
      </c>
      <c r="D22" s="26" t="s">
        <v>14</v>
      </c>
      <c r="E22" s="26" t="s">
        <v>15</v>
      </c>
      <c r="F22" s="24" t="s">
        <v>16</v>
      </c>
      <c r="G22" s="24" t="s">
        <v>90</v>
      </c>
      <c r="H22" s="24" t="s">
        <v>114</v>
      </c>
      <c r="I22" s="24" t="s">
        <v>115</v>
      </c>
      <c r="J22" s="24" t="s">
        <v>17</v>
      </c>
      <c r="K22" s="24" t="s">
        <v>18</v>
      </c>
    </row>
    <row r="23" spans="2:11" x14ac:dyDescent="0.25">
      <c r="B23" s="11">
        <v>1</v>
      </c>
      <c r="C23" s="31" t="s">
        <v>139</v>
      </c>
      <c r="D23" s="32">
        <v>0</v>
      </c>
      <c r="E23" s="32">
        <v>0</v>
      </c>
      <c r="F23" s="9" t="s">
        <v>43</v>
      </c>
      <c r="J23" s="16">
        <v>0</v>
      </c>
      <c r="K23" s="16">
        <v>0</v>
      </c>
    </row>
    <row r="24" spans="2:11" x14ac:dyDescent="0.25">
      <c r="B24" s="33" t="s">
        <v>43</v>
      </c>
      <c r="C24" s="33" t="s">
        <v>140</v>
      </c>
      <c r="D24" s="34">
        <f>SUM(D23:D23)</f>
        <v>0</v>
      </c>
      <c r="E24" s="34">
        <f>SUM(E23:E23)</f>
        <v>0</v>
      </c>
      <c r="F24" s="35" t="s">
        <v>43</v>
      </c>
      <c r="J24" s="17">
        <f>SUM(J23:J23)</f>
        <v>0</v>
      </c>
      <c r="K24" s="17">
        <f>SUM(K23:K23)</f>
        <v>0</v>
      </c>
    </row>
    <row r="27" spans="2:11" x14ac:dyDescent="0.25">
      <c r="B27" s="24" t="s">
        <v>112</v>
      </c>
      <c r="C27" s="25" t="s">
        <v>141</v>
      </c>
      <c r="D27" s="26" t="s">
        <v>14</v>
      </c>
      <c r="E27" s="26" t="s">
        <v>15</v>
      </c>
      <c r="F27" s="24" t="s">
        <v>16</v>
      </c>
      <c r="G27" s="24" t="s">
        <v>90</v>
      </c>
      <c r="H27" s="24" t="s">
        <v>114</v>
      </c>
      <c r="I27" s="24" t="s">
        <v>115</v>
      </c>
      <c r="J27" s="24" t="s">
        <v>17</v>
      </c>
      <c r="K27" s="24" t="s">
        <v>18</v>
      </c>
    </row>
    <row r="28" spans="2:11" x14ac:dyDescent="0.25">
      <c r="B28" s="11">
        <v>1</v>
      </c>
      <c r="C28" s="31" t="s">
        <v>139</v>
      </c>
      <c r="D28" s="32">
        <v>0</v>
      </c>
      <c r="E28" s="32">
        <v>0</v>
      </c>
      <c r="F28" s="9" t="s">
        <v>142</v>
      </c>
      <c r="J28" s="16">
        <v>0</v>
      </c>
      <c r="K28" s="16">
        <v>0</v>
      </c>
    </row>
    <row r="29" spans="2:11" x14ac:dyDescent="0.25">
      <c r="B29" s="33" t="s">
        <v>43</v>
      </c>
      <c r="C29" s="33" t="s">
        <v>143</v>
      </c>
      <c r="D29" s="34">
        <f>SUM(D28:D28)</f>
        <v>0</v>
      </c>
      <c r="E29" s="34">
        <f>SUM(E28:E28)</f>
        <v>0</v>
      </c>
      <c r="F29" s="35" t="s">
        <v>43</v>
      </c>
      <c r="J29" s="17">
        <f>SUM(J28:J28)</f>
        <v>0</v>
      </c>
      <c r="K29" s="17">
        <f>SUM(K28:K28)</f>
        <v>0</v>
      </c>
    </row>
    <row r="32" spans="2:6" x14ac:dyDescent="0.25">
      <c r="B32" s="24" t="s">
        <v>112</v>
      </c>
      <c r="C32" s="25" t="s">
        <v>144</v>
      </c>
      <c r="D32" s="25"/>
      <c r="E32" s="25"/>
      <c r="F32" s="25"/>
    </row>
    <row r="33" spans="2:6" x14ac:dyDescent="0.25">
      <c r="B33" s="11">
        <v>1</v>
      </c>
      <c r="C33" s="31" t="s">
        <v>101</v>
      </c>
      <c r="D33" s="31"/>
      <c r="E33" s="31"/>
      <c r="F33" s="31"/>
    </row>
    <row r="34" spans="2:6" x14ac:dyDescent="0.25">
      <c r="B34" s="11">
        <v>2</v>
      </c>
      <c r="C34" s="31" t="s">
        <v>102</v>
      </c>
      <c r="D34" s="31"/>
      <c r="E34" s="31"/>
      <c r="F34" s="31"/>
    </row>
    <row r="35" spans="2:6" x14ac:dyDescent="0.25">
      <c r="B35" s="11">
        <v>3</v>
      </c>
      <c r="C35" s="31" t="s">
        <v>103</v>
      </c>
      <c r="D35" s="31"/>
      <c r="E35" s="31"/>
      <c r="F35" s="31"/>
    </row>
    <row r="36" spans="2:6" x14ac:dyDescent="0.25">
      <c r="B36" s="11">
        <v>4</v>
      </c>
      <c r="C36" s="31" t="s">
        <v>104</v>
      </c>
      <c r="D36" s="31"/>
      <c r="E36" s="31"/>
      <c r="F36" s="31"/>
    </row>
    <row r="37" spans="2:6" x14ac:dyDescent="0.25">
      <c r="B37" s="11">
        <v>5</v>
      </c>
      <c r="C37" s="31" t="s">
        <v>105</v>
      </c>
      <c r="D37" s="31"/>
      <c r="E37" s="31"/>
      <c r="F37" s="31"/>
    </row>
    <row r="38" spans="2:6" x14ac:dyDescent="0.25">
      <c r="B38" s="11">
        <v>6</v>
      </c>
      <c r="C38" s="31" t="s">
        <v>106</v>
      </c>
      <c r="D38" s="31"/>
      <c r="E38" s="31"/>
      <c r="F38" s="31"/>
    </row>
    <row r="41" spans="2:6" x14ac:dyDescent="0.25">
      <c r="B41" s="24" t="s">
        <v>112</v>
      </c>
      <c r="C41" s="25" t="s">
        <v>145</v>
      </c>
      <c r="D41" s="25"/>
      <c r="E41" s="25"/>
      <c r="F41" s="25"/>
    </row>
    <row r="42" spans="2:6" x14ac:dyDescent="0.25">
      <c r="B42" s="11">
        <v>1</v>
      </c>
      <c r="C42" s="31" t="s">
        <v>146</v>
      </c>
      <c r="D42" s="31"/>
      <c r="E42" s="31"/>
      <c r="F42" s="31"/>
    </row>
  </sheetData>
  <mergeCells count="12">
    <mergeCell ref="B2:F2"/>
    <mergeCell ref="B3:F3"/>
    <mergeCell ref="B4:F4"/>
    <mergeCell ref="C32:F32"/>
    <mergeCell ref="C33:F33"/>
    <mergeCell ref="C34:F34"/>
    <mergeCell ref="C35:F35"/>
    <mergeCell ref="C36:F36"/>
    <mergeCell ref="C37:F37"/>
    <mergeCell ref="C38:F38"/>
    <mergeCell ref="C41:F41"/>
    <mergeCell ref="C42:F4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1"/>
  <sheetFormatPr defaultRowHeight="15" outlineLevelRow="0" outlineLevelCol="0" x14ac:dyDescent="55"/>
  <cols>
    <col min="1" max="2" width="7.75" customWidth="1"/>
    <col min="3" max="3" width="43.25" customWidth="1"/>
    <col min="4" max="5" width="12" customWidth="1"/>
    <col min="6" max="6" width="45.25" customWidth="1"/>
    <col min="7" max="7" width="11" customWidth="1"/>
    <col min="8" max="8" width="22" customWidth="1"/>
    <col min="9" max="9" width="13" customWidth="1"/>
    <col min="10" max="11" width="12" customWidth="1"/>
    <col min="12" max="26" width="7.75" customWidth="1"/>
  </cols>
  <sheetData>
    <row r="2" spans="2:6" x14ac:dyDescent="0.25">
      <c r="B2" s="18" t="s">
        <v>172</v>
      </c>
      <c r="C2" s="18"/>
      <c r="D2" s="18"/>
      <c r="E2" s="18"/>
      <c r="F2" s="18"/>
    </row>
    <row r="3" spans="2:6" x14ac:dyDescent="0.25">
      <c r="B3" s="19" t="s">
        <v>8</v>
      </c>
      <c r="C3" s="19"/>
      <c r="D3" s="19"/>
      <c r="E3" s="19"/>
      <c r="F3" s="19"/>
    </row>
    <row r="4" spans="2:6" x14ac:dyDescent="0.25">
      <c r="B4" s="20" t="s">
        <v>108</v>
      </c>
      <c r="C4" s="20"/>
      <c r="D4" s="20"/>
      <c r="E4" s="20"/>
      <c r="F4" s="20"/>
    </row>
    <row r="6" spans="3:11" x14ac:dyDescent="0.25">
      <c r="C6" s="21" t="s">
        <v>173</v>
      </c>
      <c r="D6" s="22">
        <f>D20</f>
        <v>13</v>
      </c>
      <c r="E6" s="22">
        <f>E20</f>
        <v>24.2</v>
      </c>
      <c r="F6" s="23" t="s">
        <v>174</v>
      </c>
      <c r="I6" s="21" t="s">
        <v>111</v>
      </c>
      <c r="J6" s="22">
        <f>J20</f>
        <v>1.49</v>
      </c>
      <c r="K6" s="22">
        <f>K20</f>
        <v>7.18</v>
      </c>
    </row>
    <row r="8" spans="2:11" x14ac:dyDescent="0.25">
      <c r="B8" s="24" t="s">
        <v>112</v>
      </c>
      <c r="C8" s="25" t="s">
        <v>175</v>
      </c>
      <c r="D8" s="26" t="s">
        <v>14</v>
      </c>
      <c r="E8" s="26" t="s">
        <v>15</v>
      </c>
      <c r="F8" s="24" t="s">
        <v>16</v>
      </c>
      <c r="G8" s="24" t="s">
        <v>90</v>
      </c>
      <c r="H8" s="24" t="s">
        <v>114</v>
      </c>
      <c r="I8" s="24" t="s">
        <v>115</v>
      </c>
      <c r="J8" s="24" t="s">
        <v>17</v>
      </c>
      <c r="K8" s="24" t="s">
        <v>18</v>
      </c>
    </row>
    <row r="9" spans="2:11" x14ac:dyDescent="0.25">
      <c r="B9" s="27">
        <v>1</v>
      </c>
      <c r="C9" s="28" t="s">
        <v>176</v>
      </c>
      <c r="D9" s="29">
        <v>0</v>
      </c>
      <c r="E9" s="29">
        <v>0</v>
      </c>
      <c r="F9" s="30" t="s">
        <v>177</v>
      </c>
      <c r="J9" s="16">
        <v>0</v>
      </c>
      <c r="K9" s="16">
        <v>0</v>
      </c>
    </row>
    <row r="10" spans="2:11" x14ac:dyDescent="0.25">
      <c r="B10" s="27">
        <v>2</v>
      </c>
      <c r="C10" s="28" t="s">
        <v>178</v>
      </c>
      <c r="D10" s="29">
        <v>0</v>
      </c>
      <c r="E10" s="29">
        <v>0</v>
      </c>
      <c r="F10" s="30" t="s">
        <v>179</v>
      </c>
      <c r="J10" s="16">
        <v>0</v>
      </c>
      <c r="K10" s="16">
        <v>0</v>
      </c>
    </row>
    <row r="11" spans="2:11" x14ac:dyDescent="0.25">
      <c r="B11" s="27">
        <v>3</v>
      </c>
      <c r="C11" s="28" t="s">
        <v>180</v>
      </c>
      <c r="D11" s="29">
        <f>SUM(D12:D12)</f>
        <v>3.6</v>
      </c>
      <c r="E11" s="29">
        <f>SUM(E12:E12)</f>
        <v>7.2</v>
      </c>
      <c r="F11" s="30" t="s">
        <v>181</v>
      </c>
      <c r="J11" s="16">
        <f>SUM(J12:J12)</f>
        <v>0.64</v>
      </c>
      <c r="K11" s="16">
        <f>SUM(K12:K12)</f>
        <v>3.08</v>
      </c>
    </row>
    <row r="12" spans="2:11" x14ac:dyDescent="0.25">
      <c r="B12" s="11" t="s">
        <v>43</v>
      </c>
      <c r="C12" s="31" t="s">
        <v>182</v>
      </c>
      <c r="D12" s="32">
        <v>3.6</v>
      </c>
      <c r="E12" s="32">
        <v>7.2</v>
      </c>
      <c r="F12" s="9" t="s">
        <v>183</v>
      </c>
      <c r="G12" t="s">
        <v>95</v>
      </c>
      <c r="H12" t="s">
        <v>184</v>
      </c>
      <c r="I12" t="s">
        <v>185</v>
      </c>
      <c r="J12" s="16">
        <v>0.64</v>
      </c>
      <c r="K12" s="16">
        <v>3.08</v>
      </c>
    </row>
    <row r="13" spans="2:11" x14ac:dyDescent="0.25">
      <c r="B13" s="27">
        <v>4</v>
      </c>
      <c r="C13" s="28" t="s">
        <v>186</v>
      </c>
      <c r="D13" s="29">
        <f>SUM(D14:D14)</f>
        <v>5.4</v>
      </c>
      <c r="E13" s="29">
        <f>SUM(E14:E14)</f>
        <v>9</v>
      </c>
      <c r="F13" s="30" t="s">
        <v>187</v>
      </c>
      <c r="J13" s="16">
        <f>SUM(J14:J14)</f>
        <v>0.85</v>
      </c>
      <c r="K13" s="16">
        <f>SUM(K14:K14)</f>
        <v>4.1</v>
      </c>
    </row>
    <row r="14" spans="3:11" x14ac:dyDescent="0.25">
      <c r="C14" s="31" t="s">
        <v>188</v>
      </c>
      <c r="D14" s="32">
        <f>D26</f>
        <v>5.4</v>
      </c>
      <c r="E14" s="32">
        <f>E26</f>
        <v>9</v>
      </c>
      <c r="J14" s="16">
        <f>J26</f>
        <v>0.85</v>
      </c>
      <c r="K14" s="16">
        <f>K26</f>
        <v>4.1</v>
      </c>
    </row>
    <row r="15" spans="2:11" x14ac:dyDescent="0.25">
      <c r="B15" s="27">
        <v>5</v>
      </c>
      <c r="C15" s="28" t="s">
        <v>189</v>
      </c>
      <c r="D15" s="29">
        <v>0</v>
      </c>
      <c r="E15" s="29">
        <v>0</v>
      </c>
      <c r="F15" s="30" t="s">
        <v>190</v>
      </c>
      <c r="J15" s="16">
        <v>0</v>
      </c>
      <c r="K15" s="16">
        <v>0</v>
      </c>
    </row>
    <row r="16" spans="2:11" x14ac:dyDescent="0.25">
      <c r="B16" s="27">
        <v>6</v>
      </c>
      <c r="C16" s="28" t="s">
        <v>191</v>
      </c>
      <c r="D16" s="29">
        <v>0</v>
      </c>
      <c r="E16" s="29">
        <v>0</v>
      </c>
      <c r="F16" s="30" t="s">
        <v>192</v>
      </c>
      <c r="J16" s="16">
        <v>0</v>
      </c>
      <c r="K16" s="16">
        <v>0</v>
      </c>
    </row>
    <row r="17" spans="2:11" x14ac:dyDescent="0.25">
      <c r="B17" s="27">
        <v>7</v>
      </c>
      <c r="C17" s="28" t="s">
        <v>193</v>
      </c>
      <c r="D17" s="29">
        <f>SUM(D18:D18)</f>
        <v>4</v>
      </c>
      <c r="E17" s="29">
        <f>SUM(E18:E18)</f>
        <v>8</v>
      </c>
      <c r="F17" s="30" t="s">
        <v>194</v>
      </c>
      <c r="J17" s="16">
        <f>SUM(J18:J18)</f>
        <v>0</v>
      </c>
      <c r="K17" s="16">
        <f>SUM(K18:K18)</f>
        <v>0</v>
      </c>
    </row>
    <row r="18" spans="2:11" x14ac:dyDescent="0.25">
      <c r="B18" s="11" t="s">
        <v>43</v>
      </c>
      <c r="C18" s="31" t="s">
        <v>195</v>
      </c>
      <c r="D18" s="32">
        <v>4</v>
      </c>
      <c r="E18" s="32">
        <v>8</v>
      </c>
      <c r="F18" s="9" t="s">
        <v>196</v>
      </c>
      <c r="G18" t="s">
        <v>96</v>
      </c>
      <c r="H18" t="s">
        <v>43</v>
      </c>
      <c r="I18" t="s">
        <v>197</v>
      </c>
      <c r="J18" s="16">
        <v>0</v>
      </c>
      <c r="K18" s="16">
        <v>0</v>
      </c>
    </row>
    <row r="19" spans="2:11" x14ac:dyDescent="0.25">
      <c r="B19" s="27">
        <v>8</v>
      </c>
      <c r="C19" s="28" t="s">
        <v>198</v>
      </c>
      <c r="D19" s="29">
        <v>0</v>
      </c>
      <c r="E19" s="29">
        <v>0</v>
      </c>
      <c r="F19" s="30" t="s">
        <v>199</v>
      </c>
      <c r="J19" s="16">
        <v>0</v>
      </c>
      <c r="K19" s="16">
        <v>0</v>
      </c>
    </row>
    <row r="20" spans="2:11" x14ac:dyDescent="0.25">
      <c r="B20" s="33" t="s">
        <v>43</v>
      </c>
      <c r="C20" s="33" t="s">
        <v>200</v>
      </c>
      <c r="D20" s="34">
        <f>D9+D10+D11+D13+D15+D16+D17+D19</f>
        <v>13</v>
      </c>
      <c r="E20" s="34">
        <f>E9+E10+E11+E13+E15+E16+E17+E19</f>
        <v>24.2</v>
      </c>
      <c r="F20" s="35" t="s">
        <v>201</v>
      </c>
      <c r="J20" s="17">
        <f>J9+J10+J11+J13+J15+J16+J17+J19</f>
        <v>1.49</v>
      </c>
      <c r="K20" s="17">
        <f>K9+K10+K11+K13+K15+K16+K17+K19</f>
        <v>7.18</v>
      </c>
    </row>
    <row r="23" spans="2:11" x14ac:dyDescent="0.25">
      <c r="B23" s="24" t="s">
        <v>112</v>
      </c>
      <c r="C23" s="25" t="s">
        <v>202</v>
      </c>
      <c r="D23" s="26" t="s">
        <v>14</v>
      </c>
      <c r="E23" s="26" t="s">
        <v>15</v>
      </c>
      <c r="F23" s="24" t="s">
        <v>16</v>
      </c>
      <c r="G23" s="24" t="s">
        <v>90</v>
      </c>
      <c r="H23" s="24" t="s">
        <v>114</v>
      </c>
      <c r="I23" s="24" t="s">
        <v>115</v>
      </c>
      <c r="J23" s="24" t="s">
        <v>17</v>
      </c>
      <c r="K23" s="24" t="s">
        <v>18</v>
      </c>
    </row>
    <row r="24" spans="3:3" x14ac:dyDescent="0.25">
      <c r="C24" s="28" t="s">
        <v>188</v>
      </c>
    </row>
    <row r="25" spans="2:11" x14ac:dyDescent="0.25">
      <c r="B25" s="11">
        <v>1</v>
      </c>
      <c r="C25" s="31" t="s">
        <v>203</v>
      </c>
      <c r="D25" s="32">
        <v>5.4</v>
      </c>
      <c r="E25" s="32">
        <v>9</v>
      </c>
      <c r="F25" s="9" t="s">
        <v>204</v>
      </c>
      <c r="G25" t="s">
        <v>95</v>
      </c>
      <c r="H25" t="s">
        <v>184</v>
      </c>
      <c r="I25" t="s">
        <v>205</v>
      </c>
      <c r="J25" s="16">
        <v>0.85</v>
      </c>
      <c r="K25" s="16">
        <v>4.1</v>
      </c>
    </row>
    <row r="26" spans="2:11" x14ac:dyDescent="0.25">
      <c r="B26" s="33" t="s">
        <v>43</v>
      </c>
      <c r="C26" s="33" t="s">
        <v>206</v>
      </c>
      <c r="D26" s="34">
        <f>D25</f>
        <v>5.4</v>
      </c>
      <c r="E26" s="34">
        <f>E25</f>
        <v>9</v>
      </c>
      <c r="F26" s="35" t="s">
        <v>207</v>
      </c>
      <c r="J26" s="17">
        <f>J25</f>
        <v>0.85</v>
      </c>
      <c r="K26" s="17">
        <f>K25</f>
        <v>4.1</v>
      </c>
    </row>
    <row r="29" spans="2:6" x14ac:dyDescent="0.25">
      <c r="B29" s="24" t="s">
        <v>112</v>
      </c>
      <c r="C29" s="25" t="s">
        <v>144</v>
      </c>
      <c r="D29" s="25"/>
      <c r="E29" s="25"/>
      <c r="F29" s="25"/>
    </row>
    <row r="30" spans="2:6" x14ac:dyDescent="0.25">
      <c r="B30" s="11">
        <v>1</v>
      </c>
      <c r="C30" s="31" t="s">
        <v>101</v>
      </c>
      <c r="D30" s="31"/>
      <c r="E30" s="31"/>
      <c r="F30" s="31"/>
    </row>
    <row r="31" spans="2:6" x14ac:dyDescent="0.25">
      <c r="B31" s="11">
        <v>2</v>
      </c>
      <c r="C31" s="31" t="s">
        <v>102</v>
      </c>
      <c r="D31" s="31"/>
      <c r="E31" s="31"/>
      <c r="F31" s="31"/>
    </row>
    <row r="32" spans="2:6" x14ac:dyDescent="0.25">
      <c r="B32" s="11">
        <v>3</v>
      </c>
      <c r="C32" s="31" t="s">
        <v>103</v>
      </c>
      <c r="D32" s="31"/>
      <c r="E32" s="31"/>
      <c r="F32" s="31"/>
    </row>
    <row r="33" spans="2:6" x14ac:dyDescent="0.25">
      <c r="B33" s="11">
        <v>4</v>
      </c>
      <c r="C33" s="31" t="s">
        <v>104</v>
      </c>
      <c r="D33" s="31"/>
      <c r="E33" s="31"/>
      <c r="F33" s="31"/>
    </row>
    <row r="34" spans="2:6" x14ac:dyDescent="0.25">
      <c r="B34" s="11">
        <v>5</v>
      </c>
      <c r="C34" s="31" t="s">
        <v>105</v>
      </c>
      <c r="D34" s="31"/>
      <c r="E34" s="31"/>
      <c r="F34" s="31"/>
    </row>
    <row r="35" spans="2:6" x14ac:dyDescent="0.25">
      <c r="B35" s="11">
        <v>6</v>
      </c>
      <c r="C35" s="31" t="s">
        <v>106</v>
      </c>
      <c r="D35" s="31"/>
      <c r="E35" s="31"/>
      <c r="F35" s="31"/>
    </row>
    <row r="38" spans="2:6" x14ac:dyDescent="0.25">
      <c r="B38" s="24" t="s">
        <v>112</v>
      </c>
      <c r="C38" s="25" t="s">
        <v>145</v>
      </c>
      <c r="D38" s="25"/>
      <c r="E38" s="25"/>
      <c r="F38" s="25"/>
    </row>
    <row r="39" spans="2:6" x14ac:dyDescent="0.25">
      <c r="B39" s="11">
        <v>1</v>
      </c>
      <c r="C39" s="31" t="s">
        <v>146</v>
      </c>
      <c r="D39" s="31"/>
      <c r="E39" s="31"/>
      <c r="F39" s="31"/>
    </row>
    <row r="40" spans="2:6" x14ac:dyDescent="0.25">
      <c r="B40" s="11">
        <v>2</v>
      </c>
      <c r="C40" s="31" t="s">
        <v>208</v>
      </c>
      <c r="D40" s="31"/>
      <c r="E40" s="31"/>
      <c r="F40" s="31"/>
    </row>
    <row r="41" spans="2:6" x14ac:dyDescent="0.25">
      <c r="B41" s="11">
        <v>3</v>
      </c>
      <c r="C41" s="31" t="s">
        <v>209</v>
      </c>
      <c r="D41" s="31"/>
      <c r="E41" s="31"/>
      <c r="F41" s="31"/>
    </row>
  </sheetData>
  <mergeCells count="14">
    <mergeCell ref="B2:F2"/>
    <mergeCell ref="B3:F3"/>
    <mergeCell ref="B4:F4"/>
    <mergeCell ref="C29:F29"/>
    <mergeCell ref="C30:F30"/>
    <mergeCell ref="C31:F31"/>
    <mergeCell ref="C32:F32"/>
    <mergeCell ref="C33:F33"/>
    <mergeCell ref="C34:F34"/>
    <mergeCell ref="C35:F35"/>
    <mergeCell ref="C38:F38"/>
    <mergeCell ref="C39:F39"/>
    <mergeCell ref="C40:F40"/>
    <mergeCell ref="C41:F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1"/>
  <sheetFormatPr defaultRowHeight="15" outlineLevelRow="0" outlineLevelCol="0" x14ac:dyDescent="55"/>
  <cols>
    <col min="1" max="2" width="7.75" customWidth="1"/>
    <col min="3" max="3" width="47.38" customWidth="1"/>
    <col min="4" max="4" width="16.75" customWidth="1"/>
    <col min="5" max="5" width="16.13" customWidth="1"/>
    <col min="6" max="6" width="84.88" customWidth="1"/>
    <col min="7" max="7" width="11" customWidth="1"/>
    <col min="8" max="8" width="22" customWidth="1"/>
    <col min="9" max="9" width="13" customWidth="1"/>
    <col min="10" max="11" width="12" customWidth="1"/>
    <col min="12" max="26" width="7.75" customWidth="1"/>
  </cols>
  <sheetData>
    <row r="2" spans="2:6" x14ac:dyDescent="0.25">
      <c r="B2" s="18" t="s">
        <v>210</v>
      </c>
      <c r="C2" s="18"/>
      <c r="D2" s="18"/>
      <c r="E2" s="18"/>
      <c r="F2" s="18"/>
    </row>
    <row r="3" spans="2:6" x14ac:dyDescent="0.25">
      <c r="B3" s="19" t="s">
        <v>8</v>
      </c>
      <c r="C3" s="19"/>
      <c r="D3" s="19"/>
      <c r="E3" s="19"/>
      <c r="F3" s="19"/>
    </row>
    <row r="4" spans="2:6" x14ac:dyDescent="0.25">
      <c r="B4" s="20" t="s">
        <v>108</v>
      </c>
      <c r="C4" s="20"/>
      <c r="D4" s="20"/>
      <c r="E4" s="20"/>
      <c r="F4" s="20"/>
    </row>
    <row r="5" spans="2:2" x14ac:dyDescent="0.25">
      <c r="B5" s="36" t="s">
        <v>152</v>
      </c>
    </row>
    <row r="6" spans="3:11" x14ac:dyDescent="0.25">
      <c r="C6" s="21" t="s">
        <v>109</v>
      </c>
      <c r="D6" s="22">
        <f>D11+D16+D21</f>
        <v>0</v>
      </c>
      <c r="E6" s="22">
        <f>E11+E16+E21</f>
        <v>0</v>
      </c>
      <c r="F6" s="23" t="s">
        <v>110</v>
      </c>
      <c r="I6" s="21" t="s">
        <v>111</v>
      </c>
      <c r="J6" s="22">
        <f>J11+J16+J21</f>
        <v>0</v>
      </c>
      <c r="K6" s="22">
        <f>K11+K16+K21</f>
        <v>0</v>
      </c>
    </row>
    <row r="8" spans="2:11" x14ac:dyDescent="0.25">
      <c r="B8" s="24" t="s">
        <v>112</v>
      </c>
      <c r="C8" s="25" t="s">
        <v>113</v>
      </c>
      <c r="D8" s="26" t="s">
        <v>14</v>
      </c>
      <c r="E8" s="26" t="s">
        <v>15</v>
      </c>
      <c r="F8" s="24" t="s">
        <v>16</v>
      </c>
      <c r="G8" s="24" t="s">
        <v>90</v>
      </c>
      <c r="H8" s="24" t="s">
        <v>114</v>
      </c>
      <c r="I8" s="24" t="s">
        <v>115</v>
      </c>
      <c r="J8" s="24" t="s">
        <v>17</v>
      </c>
      <c r="K8" s="24" t="s">
        <v>18</v>
      </c>
    </row>
    <row r="9" spans="3:11" x14ac:dyDescent="0.25">
      <c r="C9" s="31" t="s">
        <v>139</v>
      </c>
      <c r="D9" s="32">
        <v>0</v>
      </c>
      <c r="E9" s="32">
        <v>0</v>
      </c>
      <c r="J9" s="16">
        <v>0</v>
      </c>
      <c r="K9" s="16">
        <v>0</v>
      </c>
    </row>
    <row r="11" spans="2:11" x14ac:dyDescent="0.25">
      <c r="B11" s="33" t="s">
        <v>43</v>
      </c>
      <c r="C11" s="33" t="s">
        <v>137</v>
      </c>
      <c r="D11" s="34">
        <f>D9</f>
        <v>0</v>
      </c>
      <c r="E11" s="34">
        <f>E9</f>
        <v>0</v>
      </c>
      <c r="F11" s="35" t="s">
        <v>43</v>
      </c>
      <c r="J11" s="17">
        <f>J9</f>
        <v>0</v>
      </c>
      <c r="K11" s="17">
        <f>K9</f>
        <v>0</v>
      </c>
    </row>
    <row r="14" spans="2:11" x14ac:dyDescent="0.25">
      <c r="B14" s="24" t="s">
        <v>112</v>
      </c>
      <c r="C14" s="25" t="s">
        <v>138</v>
      </c>
      <c r="D14" s="26" t="s">
        <v>14</v>
      </c>
      <c r="E14" s="26" t="s">
        <v>15</v>
      </c>
      <c r="F14" s="24" t="s">
        <v>16</v>
      </c>
      <c r="G14" s="24" t="s">
        <v>90</v>
      </c>
      <c r="H14" s="24" t="s">
        <v>114</v>
      </c>
      <c r="I14" s="24" t="s">
        <v>115</v>
      </c>
      <c r="J14" s="24" t="s">
        <v>17</v>
      </c>
      <c r="K14" s="24" t="s">
        <v>18</v>
      </c>
    </row>
    <row r="15" spans="2:11" x14ac:dyDescent="0.25">
      <c r="B15" s="11">
        <v>1</v>
      </c>
      <c r="C15" s="31" t="s">
        <v>139</v>
      </c>
      <c r="D15" s="32">
        <v>0</v>
      </c>
      <c r="E15" s="32">
        <v>0</v>
      </c>
      <c r="F15" s="9" t="s">
        <v>43</v>
      </c>
      <c r="J15" s="16">
        <v>0</v>
      </c>
      <c r="K15" s="16">
        <v>0</v>
      </c>
    </row>
    <row r="16" spans="2:11" x14ac:dyDescent="0.25">
      <c r="B16" s="33" t="s">
        <v>43</v>
      </c>
      <c r="C16" s="33" t="s">
        <v>140</v>
      </c>
      <c r="D16" s="34">
        <f>SUM(D15:D15)</f>
        <v>0</v>
      </c>
      <c r="E16" s="34">
        <f>SUM(E15:E15)</f>
        <v>0</v>
      </c>
      <c r="F16" s="35" t="s">
        <v>43</v>
      </c>
      <c r="J16" s="17">
        <f>SUM(J15:J15)</f>
        <v>0</v>
      </c>
      <c r="K16" s="17">
        <f>SUM(K15:K15)</f>
        <v>0</v>
      </c>
    </row>
    <row r="19" spans="2:11" x14ac:dyDescent="0.25">
      <c r="B19" s="24" t="s">
        <v>112</v>
      </c>
      <c r="C19" s="25" t="s">
        <v>141</v>
      </c>
      <c r="D19" s="26" t="s">
        <v>14</v>
      </c>
      <c r="E19" s="26" t="s">
        <v>15</v>
      </c>
      <c r="F19" s="24" t="s">
        <v>16</v>
      </c>
      <c r="G19" s="24" t="s">
        <v>90</v>
      </c>
      <c r="H19" s="24" t="s">
        <v>114</v>
      </c>
      <c r="I19" s="24" t="s">
        <v>115</v>
      </c>
      <c r="J19" s="24" t="s">
        <v>17</v>
      </c>
      <c r="K19" s="24" t="s">
        <v>18</v>
      </c>
    </row>
    <row r="20" spans="2:11" x14ac:dyDescent="0.25">
      <c r="B20" s="11">
        <v>1</v>
      </c>
      <c r="C20" s="31" t="s">
        <v>139</v>
      </c>
      <c r="D20" s="32">
        <v>0</v>
      </c>
      <c r="E20" s="32">
        <v>0</v>
      </c>
      <c r="F20" s="9" t="s">
        <v>142</v>
      </c>
      <c r="J20" s="16">
        <v>0</v>
      </c>
      <c r="K20" s="16">
        <v>0</v>
      </c>
    </row>
    <row r="21" spans="2:11" x14ac:dyDescent="0.25">
      <c r="B21" s="33" t="s">
        <v>43</v>
      </c>
      <c r="C21" s="33" t="s">
        <v>143</v>
      </c>
      <c r="D21" s="34">
        <f>SUM(D20:D20)</f>
        <v>0</v>
      </c>
      <c r="E21" s="34">
        <f>SUM(E20:E20)</f>
        <v>0</v>
      </c>
      <c r="F21" s="35" t="s">
        <v>43</v>
      </c>
      <c r="J21" s="17">
        <f>SUM(J20:J20)</f>
        <v>0</v>
      </c>
      <c r="K21" s="17">
        <f>SUM(K20:K20)</f>
        <v>0</v>
      </c>
    </row>
  </sheetData>
  <mergeCells count="3">
    <mergeCell ref="B2:F2"/>
    <mergeCell ref="B3:F3"/>
    <mergeCell ref="B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FormatPr defaultRowHeight="15" outlineLevelRow="0" outlineLevelCol="0" x14ac:dyDescent="55"/>
  <cols>
    <col min="1" max="2" width="7.75" customWidth="1"/>
    <col min="3" max="3" width="47.38" customWidth="1"/>
    <col min="4" max="4" width="16.75" customWidth="1"/>
    <col min="5" max="5" width="16.13" customWidth="1"/>
    <col min="6" max="6" width="84.88" customWidth="1"/>
    <col min="7" max="7" width="11" customWidth="1"/>
    <col min="8" max="8" width="22" customWidth="1"/>
    <col min="9" max="9" width="13" customWidth="1"/>
    <col min="10" max="11" width="12" customWidth="1"/>
    <col min="12" max="26" width="7.75" customWidth="1"/>
  </cols>
  <sheetData>
    <row r="2" spans="2:6" x14ac:dyDescent="0.25">
      <c r="B2" s="18" t="s">
        <v>211</v>
      </c>
      <c r="C2" s="18"/>
      <c r="D2" s="18"/>
      <c r="E2" s="18"/>
      <c r="F2" s="18"/>
    </row>
    <row r="3" spans="2:6" x14ac:dyDescent="0.25">
      <c r="B3" s="19" t="s">
        <v>8</v>
      </c>
      <c r="C3" s="19"/>
      <c r="D3" s="19"/>
      <c r="E3" s="19"/>
      <c r="F3" s="19"/>
    </row>
    <row r="4" spans="2:6" x14ac:dyDescent="0.25">
      <c r="B4" s="20" t="s">
        <v>108</v>
      </c>
      <c r="C4" s="20"/>
      <c r="D4" s="20"/>
      <c r="E4" s="20"/>
      <c r="F4" s="20"/>
    </row>
    <row r="6" spans="2:2" x14ac:dyDescent="0.25">
      <c r="B6" s="28" t="s">
        <v>212</v>
      </c>
    </row>
    <row r="7" spans="2:2" x14ac:dyDescent="0.25">
      <c r="B7" s="36" t="s">
        <v>152</v>
      </c>
    </row>
    <row r="8" spans="2:11" x14ac:dyDescent="0.25">
      <c r="B8" s="24" t="s">
        <v>112</v>
      </c>
      <c r="C8" s="25" t="s">
        <v>113</v>
      </c>
      <c r="D8" s="26" t="s">
        <v>14</v>
      </c>
      <c r="E8" s="26" t="s">
        <v>15</v>
      </c>
      <c r="F8" s="24" t="s">
        <v>16</v>
      </c>
      <c r="G8" s="24" t="s">
        <v>90</v>
      </c>
      <c r="H8" s="24" t="s">
        <v>114</v>
      </c>
      <c r="I8" s="24" t="s">
        <v>115</v>
      </c>
      <c r="J8" s="24" t="s">
        <v>17</v>
      </c>
      <c r="K8" s="24" t="s">
        <v>18</v>
      </c>
    </row>
    <row r="9" spans="2:11" x14ac:dyDescent="0.25">
      <c r="B9" s="11">
        <v>1</v>
      </c>
      <c r="C9" s="31" t="s">
        <v>139</v>
      </c>
      <c r="D9" s="32">
        <v>0</v>
      </c>
      <c r="E9" s="32">
        <v>0</v>
      </c>
      <c r="F9" s="9" t="s">
        <v>43</v>
      </c>
      <c r="G9" t="s">
        <v>43</v>
      </c>
      <c r="H9" t="s">
        <v>43</v>
      </c>
      <c r="I9" t="s">
        <v>43</v>
      </c>
      <c r="J9" s="16">
        <v>0</v>
      </c>
      <c r="K9" s="16">
        <v>0</v>
      </c>
    </row>
    <row r="10" spans="3:11" x14ac:dyDescent="0.25">
      <c r="C10" s="33" t="s">
        <v>213</v>
      </c>
      <c r="D10" s="34">
        <f>SUM(D9:D9)</f>
        <v>0</v>
      </c>
      <c r="E10" s="34">
        <f>SUM(E9:E9)</f>
        <v>0</v>
      </c>
      <c r="J10" s="17">
        <f>SUM(J9:J9)</f>
        <v>0</v>
      </c>
      <c r="K10" s="17">
        <f>SUM(K9:K9)</f>
        <v>0</v>
      </c>
    </row>
    <row r="13" spans="2:2" x14ac:dyDescent="0.25">
      <c r="B13" s="28" t="s">
        <v>214</v>
      </c>
    </row>
    <row r="14" spans="2:11" x14ac:dyDescent="0.25">
      <c r="B14" s="24" t="s">
        <v>112</v>
      </c>
      <c r="C14" s="25" t="s">
        <v>113</v>
      </c>
      <c r="D14" s="26" t="s">
        <v>14</v>
      </c>
      <c r="E14" s="26" t="s">
        <v>15</v>
      </c>
      <c r="F14" s="24" t="s">
        <v>16</v>
      </c>
      <c r="G14" s="24" t="s">
        <v>90</v>
      </c>
      <c r="H14" s="24" t="s">
        <v>114</v>
      </c>
      <c r="I14" s="24" t="s">
        <v>115</v>
      </c>
      <c r="J14" s="24" t="s">
        <v>17</v>
      </c>
      <c r="K14" s="24" t="s">
        <v>18</v>
      </c>
    </row>
    <row r="15" spans="2:11" x14ac:dyDescent="0.25">
      <c r="B15" s="11">
        <v>1</v>
      </c>
      <c r="C15" s="31" t="s">
        <v>215</v>
      </c>
      <c r="D15" s="32">
        <v>4</v>
      </c>
      <c r="E15" s="32">
        <v>8</v>
      </c>
      <c r="F15" s="9" t="s">
        <v>216</v>
      </c>
      <c r="G15" t="s">
        <v>96</v>
      </c>
      <c r="H15" t="s">
        <v>43</v>
      </c>
      <c r="I15" t="s">
        <v>217</v>
      </c>
      <c r="J15" s="16">
        <v>0</v>
      </c>
      <c r="K15" s="16">
        <v>0</v>
      </c>
    </row>
    <row r="16" spans="3:11" x14ac:dyDescent="0.25">
      <c r="C16" s="33" t="s">
        <v>218</v>
      </c>
      <c r="D16" s="34">
        <f>SUM(D15:D15)</f>
        <v>4</v>
      </c>
      <c r="E16" s="34">
        <f>SUM(E15:E15)</f>
        <v>8</v>
      </c>
      <c r="J16" s="17">
        <f>SUM(J15:J15)</f>
        <v>0</v>
      </c>
      <c r="K16" s="17">
        <f>SUM(K15:K15)</f>
        <v>0</v>
      </c>
    </row>
    <row r="19" spans="2:2" x14ac:dyDescent="0.25">
      <c r="B19" s="28" t="s">
        <v>219</v>
      </c>
    </row>
    <row r="20" spans="2:2" x14ac:dyDescent="0.25">
      <c r="B20" s="36" t="s">
        <v>152</v>
      </c>
    </row>
    <row r="21" spans="2:11" x14ac:dyDescent="0.25">
      <c r="B21" s="24" t="s">
        <v>112</v>
      </c>
      <c r="C21" s="25" t="s">
        <v>113</v>
      </c>
      <c r="D21" s="26" t="s">
        <v>14</v>
      </c>
      <c r="E21" s="26" t="s">
        <v>15</v>
      </c>
      <c r="F21" s="24" t="s">
        <v>16</v>
      </c>
      <c r="G21" s="24" t="s">
        <v>90</v>
      </c>
      <c r="H21" s="24" t="s">
        <v>114</v>
      </c>
      <c r="I21" s="24" t="s">
        <v>115</v>
      </c>
      <c r="J21" s="24" t="s">
        <v>17</v>
      </c>
      <c r="K21" s="24" t="s">
        <v>18</v>
      </c>
    </row>
    <row r="22" spans="2:11" x14ac:dyDescent="0.25">
      <c r="B22" s="11">
        <v>1</v>
      </c>
      <c r="C22" s="31" t="s">
        <v>139</v>
      </c>
      <c r="D22" s="32">
        <v>0</v>
      </c>
      <c r="E22" s="32">
        <v>0</v>
      </c>
      <c r="F22" s="9" t="s">
        <v>43</v>
      </c>
      <c r="G22" t="s">
        <v>43</v>
      </c>
      <c r="H22" t="s">
        <v>43</v>
      </c>
      <c r="I22" t="s">
        <v>43</v>
      </c>
      <c r="J22" s="16">
        <v>0</v>
      </c>
      <c r="K22" s="16">
        <v>0</v>
      </c>
    </row>
    <row r="23" spans="3:11" x14ac:dyDescent="0.25">
      <c r="C23" s="33" t="s">
        <v>220</v>
      </c>
      <c r="D23" s="34">
        <f>SUM(D22:D22)</f>
        <v>0</v>
      </c>
      <c r="E23" s="34">
        <f>SUM(E22:E22)</f>
        <v>0</v>
      </c>
      <c r="J23" s="17">
        <f>SUM(J22:J22)</f>
        <v>0</v>
      </c>
      <c r="K23" s="17">
        <f>SUM(K22:K22)</f>
        <v>0</v>
      </c>
    </row>
    <row r="26" spans="2:2" x14ac:dyDescent="0.25">
      <c r="B26" s="28" t="s">
        <v>221</v>
      </c>
    </row>
    <row r="27" spans="2:11" x14ac:dyDescent="0.25">
      <c r="B27" s="24" t="s">
        <v>112</v>
      </c>
      <c r="C27" s="25" t="s">
        <v>113</v>
      </c>
      <c r="D27" s="26" t="s">
        <v>14</v>
      </c>
      <c r="E27" s="26" t="s">
        <v>15</v>
      </c>
      <c r="F27" s="24" t="s">
        <v>16</v>
      </c>
      <c r="G27" s="24" t="s">
        <v>90</v>
      </c>
      <c r="H27" s="24" t="s">
        <v>114</v>
      </c>
      <c r="I27" s="24" t="s">
        <v>115</v>
      </c>
      <c r="J27" s="24" t="s">
        <v>17</v>
      </c>
      <c r="K27" s="24" t="s">
        <v>18</v>
      </c>
    </row>
    <row r="28" spans="2:11" x14ac:dyDescent="0.25">
      <c r="B28" s="11">
        <v>1</v>
      </c>
      <c r="C28" s="31" t="s">
        <v>139</v>
      </c>
      <c r="D28" s="32">
        <v>0</v>
      </c>
      <c r="E28" s="32">
        <v>0</v>
      </c>
      <c r="F28" s="9" t="s">
        <v>43</v>
      </c>
      <c r="G28" t="s">
        <v>43</v>
      </c>
      <c r="H28" t="s">
        <v>43</v>
      </c>
      <c r="I28" t="s">
        <v>43</v>
      </c>
      <c r="J28" s="16">
        <v>0</v>
      </c>
      <c r="K28" s="16">
        <v>0</v>
      </c>
    </row>
    <row r="29" spans="3:11" x14ac:dyDescent="0.25">
      <c r="C29" s="33" t="s">
        <v>222</v>
      </c>
      <c r="D29" s="34">
        <f>SUM(D28:D28)</f>
        <v>0</v>
      </c>
      <c r="E29" s="34">
        <f>SUM(E28:E28)</f>
        <v>0</v>
      </c>
      <c r="J29" s="17">
        <f>SUM(J28:J28)</f>
        <v>0</v>
      </c>
      <c r="K29" s="17">
        <f>SUM(K28:K28)</f>
        <v>0</v>
      </c>
    </row>
  </sheetData>
  <mergeCells count="3">
    <mergeCell ref="B2:F2"/>
    <mergeCell ref="B3:F3"/>
    <mergeCell ref="B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3" max="3" width="46" customWidth="1"/>
    <col min="4" max="4" width="10" customWidth="1"/>
    <col min="5" max="5" width="30" customWidth="1"/>
    <col min="6" max="6" width="10" customWidth="1"/>
    <col min="7" max="7" width="22" customWidth="1"/>
    <col min="8" max="9" width="13" customWidth="1"/>
    <col min="10" max="11" width="12" customWidth="1"/>
  </cols>
  <sheetData>
    <row r="1" spans="2:2" x14ac:dyDescent="0.25">
      <c r="B1" s="37" t="s">
        <v>223</v>
      </c>
    </row>
    <row r="2" spans="2:2" x14ac:dyDescent="0.25">
      <c r="B2" t="s">
        <v>224</v>
      </c>
    </row>
    <row r="4" spans="2:11" x14ac:dyDescent="0.25">
      <c r="B4" s="38" t="s">
        <v>115</v>
      </c>
      <c r="C4" s="38" t="s">
        <v>113</v>
      </c>
      <c r="D4" s="38" t="s">
        <v>225</v>
      </c>
      <c r="E4" s="38" t="s">
        <v>226</v>
      </c>
      <c r="F4" s="38" t="s">
        <v>90</v>
      </c>
      <c r="G4" s="38" t="s">
        <v>114</v>
      </c>
      <c r="H4" s="38" t="s">
        <v>14</v>
      </c>
      <c r="I4" s="38" t="s">
        <v>15</v>
      </c>
      <c r="J4" s="38" t="s">
        <v>17</v>
      </c>
      <c r="K4" s="38" t="s">
        <v>18</v>
      </c>
    </row>
    <row r="5" spans="2:11" x14ac:dyDescent="0.25">
      <c r="B5" t="s">
        <v>120</v>
      </c>
      <c r="C5" t="s">
        <v>117</v>
      </c>
      <c r="D5" t="s">
        <v>227</v>
      </c>
      <c r="E5" t="s">
        <v>116</v>
      </c>
      <c r="F5" t="s">
        <v>95</v>
      </c>
      <c r="G5" t="s">
        <v>119</v>
      </c>
      <c r="H5" s="16">
        <v>2.88</v>
      </c>
      <c r="I5" s="16">
        <v>5.76</v>
      </c>
      <c r="J5" s="16">
        <v>0.51</v>
      </c>
      <c r="K5" s="16">
        <v>2.46</v>
      </c>
    </row>
    <row r="6" spans="2:11" x14ac:dyDescent="0.25">
      <c r="B6" t="s">
        <v>124</v>
      </c>
      <c r="C6" t="s">
        <v>121</v>
      </c>
      <c r="D6" t="s">
        <v>227</v>
      </c>
      <c r="E6" t="s">
        <v>116</v>
      </c>
      <c r="F6" t="s">
        <v>95</v>
      </c>
      <c r="G6" t="s">
        <v>123</v>
      </c>
      <c r="H6" s="16">
        <v>3.24</v>
      </c>
      <c r="I6" s="16">
        <v>6.48</v>
      </c>
      <c r="J6" s="16">
        <v>0.58</v>
      </c>
      <c r="K6" s="16">
        <v>2.77</v>
      </c>
    </row>
    <row r="7" spans="2:11" x14ac:dyDescent="0.25">
      <c r="B7" t="s">
        <v>128</v>
      </c>
      <c r="C7" t="s">
        <v>125</v>
      </c>
      <c r="D7" t="s">
        <v>227</v>
      </c>
      <c r="E7" t="s">
        <v>116</v>
      </c>
      <c r="F7" t="s">
        <v>95</v>
      </c>
      <c r="G7" t="s">
        <v>127</v>
      </c>
      <c r="H7" s="16">
        <v>1.94</v>
      </c>
      <c r="I7" s="16">
        <v>3.89</v>
      </c>
      <c r="J7" s="16">
        <v>0.35</v>
      </c>
      <c r="K7" s="16">
        <v>1.66</v>
      </c>
    </row>
    <row r="8" spans="2:11" x14ac:dyDescent="0.25">
      <c r="B8" t="s">
        <v>132</v>
      </c>
      <c r="C8" t="s">
        <v>129</v>
      </c>
      <c r="D8" t="s">
        <v>227</v>
      </c>
      <c r="E8" t="s">
        <v>116</v>
      </c>
      <c r="F8" t="s">
        <v>95</v>
      </c>
      <c r="G8" t="s">
        <v>131</v>
      </c>
      <c r="H8" s="16">
        <v>9.6</v>
      </c>
      <c r="I8" s="16">
        <v>16.8</v>
      </c>
      <c r="J8" s="16">
        <v>1.57</v>
      </c>
      <c r="K8" s="16">
        <v>7.53</v>
      </c>
    </row>
    <row r="9" spans="2:11" x14ac:dyDescent="0.25">
      <c r="B9" t="s">
        <v>136</v>
      </c>
      <c r="C9" t="s">
        <v>133</v>
      </c>
      <c r="D9" t="s">
        <v>227</v>
      </c>
      <c r="E9" t="s">
        <v>116</v>
      </c>
      <c r="F9" t="s">
        <v>95</v>
      </c>
      <c r="G9" t="s">
        <v>135</v>
      </c>
      <c r="H9" s="16">
        <v>9.6</v>
      </c>
      <c r="I9" s="16">
        <v>16.8</v>
      </c>
      <c r="J9" s="16">
        <v>1.57</v>
      </c>
      <c r="K9" s="16">
        <v>7.53</v>
      </c>
    </row>
    <row r="10" spans="2:11" x14ac:dyDescent="0.25">
      <c r="B10" t="s">
        <v>171</v>
      </c>
      <c r="C10" t="s">
        <v>168</v>
      </c>
      <c r="D10" t="s">
        <v>228</v>
      </c>
      <c r="E10" t="s">
        <v>167</v>
      </c>
      <c r="F10" t="s">
        <v>95</v>
      </c>
      <c r="G10" t="s">
        <v>170</v>
      </c>
      <c r="H10" s="16">
        <v>12.48</v>
      </c>
      <c r="I10" s="16">
        <v>21.84</v>
      </c>
      <c r="J10" s="16">
        <v>2.04</v>
      </c>
      <c r="K10" s="16">
        <v>9.78</v>
      </c>
    </row>
    <row r="11" spans="2:11" x14ac:dyDescent="0.25">
      <c r="B11" t="s">
        <v>157</v>
      </c>
      <c r="C11" t="s">
        <v>154</v>
      </c>
      <c r="D11" t="s">
        <v>228</v>
      </c>
      <c r="E11" t="s">
        <v>153</v>
      </c>
      <c r="F11" t="s">
        <v>95</v>
      </c>
      <c r="G11" t="s">
        <v>156</v>
      </c>
      <c r="H11" s="16">
        <v>9.36</v>
      </c>
      <c r="I11" s="16">
        <v>15.6</v>
      </c>
      <c r="J11" s="16">
        <v>1.48</v>
      </c>
      <c r="K11" s="16">
        <v>7.11</v>
      </c>
    </row>
    <row r="12" spans="2:11" x14ac:dyDescent="0.25">
      <c r="B12" t="s">
        <v>161</v>
      </c>
      <c r="C12" t="s">
        <v>158</v>
      </c>
      <c r="D12" t="s">
        <v>228</v>
      </c>
      <c r="E12" t="s">
        <v>153</v>
      </c>
      <c r="F12" t="s">
        <v>95</v>
      </c>
      <c r="G12" t="s">
        <v>160</v>
      </c>
      <c r="H12" s="16">
        <v>5.62</v>
      </c>
      <c r="I12" s="16">
        <v>9.36</v>
      </c>
      <c r="J12" s="16">
        <v>0.89</v>
      </c>
      <c r="K12" s="16">
        <v>4.27</v>
      </c>
    </row>
    <row r="13" spans="2:11" x14ac:dyDescent="0.25">
      <c r="B13" t="s">
        <v>166</v>
      </c>
      <c r="C13" t="s">
        <v>163</v>
      </c>
      <c r="D13" t="s">
        <v>228</v>
      </c>
      <c r="E13" t="s">
        <v>162</v>
      </c>
      <c r="F13" t="s">
        <v>95</v>
      </c>
      <c r="G13" t="s">
        <v>165</v>
      </c>
      <c r="H13" s="16">
        <v>7.8</v>
      </c>
      <c r="I13" s="16">
        <v>12.48</v>
      </c>
      <c r="J13" s="16">
        <v>1.2</v>
      </c>
      <c r="K13" s="16">
        <v>5.78</v>
      </c>
    </row>
    <row r="14" spans="2:11" x14ac:dyDescent="0.25">
      <c r="B14" t="s">
        <v>185</v>
      </c>
      <c r="C14" t="s">
        <v>182</v>
      </c>
      <c r="D14" t="s">
        <v>229</v>
      </c>
      <c r="E14" t="s">
        <v>230</v>
      </c>
      <c r="F14" t="s">
        <v>95</v>
      </c>
      <c r="G14" t="s">
        <v>184</v>
      </c>
      <c r="H14" s="16">
        <v>3.6</v>
      </c>
      <c r="I14" s="16">
        <v>7.2</v>
      </c>
      <c r="J14" s="16">
        <v>0.64</v>
      </c>
      <c r="K14" s="16">
        <v>3.08</v>
      </c>
    </row>
    <row r="15" spans="2:11" x14ac:dyDescent="0.25">
      <c r="B15" t="s">
        <v>205</v>
      </c>
      <c r="C15" t="s">
        <v>203</v>
      </c>
      <c r="D15" t="s">
        <v>229</v>
      </c>
      <c r="E15" t="s">
        <v>230</v>
      </c>
      <c r="F15" t="s">
        <v>95</v>
      </c>
      <c r="G15" t="s">
        <v>184</v>
      </c>
      <c r="H15" s="16">
        <v>5.4</v>
      </c>
      <c r="I15" s="16">
        <v>9</v>
      </c>
      <c r="J15" s="16">
        <v>0.85</v>
      </c>
      <c r="K15" s="16">
        <v>4.1</v>
      </c>
    </row>
    <row r="16" spans="2:11" x14ac:dyDescent="0.25">
      <c r="B16" t="s">
        <v>197</v>
      </c>
      <c r="C16" t="s">
        <v>195</v>
      </c>
      <c r="D16" t="s">
        <v>229</v>
      </c>
      <c r="E16" t="s">
        <v>230</v>
      </c>
      <c r="F16" t="s">
        <v>96</v>
      </c>
      <c r="G16" t="s">
        <v>43</v>
      </c>
      <c r="H16" s="16">
        <v>4</v>
      </c>
      <c r="I16" s="16">
        <v>8</v>
      </c>
      <c r="J16" s="16">
        <v>0</v>
      </c>
      <c r="K16" s="16">
        <v>0</v>
      </c>
    </row>
    <row r="17" spans="2:11" x14ac:dyDescent="0.25">
      <c r="B17" t="s">
        <v>217</v>
      </c>
      <c r="C17" t="s">
        <v>215</v>
      </c>
      <c r="D17" t="s">
        <v>214</v>
      </c>
      <c r="E17" t="s">
        <v>230</v>
      </c>
      <c r="F17" t="s">
        <v>96</v>
      </c>
      <c r="G17" t="s">
        <v>43</v>
      </c>
      <c r="H17" s="16">
        <v>4</v>
      </c>
      <c r="I17" s="16">
        <v>8</v>
      </c>
      <c r="J17" s="16">
        <v>0</v>
      </c>
      <c r="K17" s="16">
        <v>0</v>
      </c>
    </row>
    <row r="18" spans="3:11" x14ac:dyDescent="0.25">
      <c r="C18" s="39" t="s">
        <v>231</v>
      </c>
      <c r="H18" s="17">
        <f>SUBTOTAL(9,H5:H17)</f>
        <v>79.52</v>
      </c>
      <c r="I18" s="17">
        <f>SUBTOTAL(9,I5:I17)</f>
        <v>141.21</v>
      </c>
      <c r="J18" s="17">
        <f>SUBTOTAL(9,J5:J17)</f>
        <v>11.68</v>
      </c>
      <c r="K18" s="17">
        <f>SUBTOTAL(9,K5:K17)</f>
        <v>56.07</v>
      </c>
    </row>
  </sheetData>
  <autoFilter ref="B4:K1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8"/>
  <sheetFormatPr defaultRowHeight="15" outlineLevelRow="0" outlineLevelCol="0" x14ac:dyDescent="55"/>
  <cols>
    <col min="2" max="2" width="30" customWidth="1"/>
    <col min="3" max="3" width="50" customWidth="1"/>
    <col min="4" max="5" width="12" customWidth="1"/>
  </cols>
  <sheetData>
    <row r="2" spans="2:3" x14ac:dyDescent="0.25">
      <c r="B2" s="39" t="s">
        <v>66</v>
      </c>
      <c r="C2" t="s">
        <v>232</v>
      </c>
    </row>
    <row r="3" spans="2:3" x14ac:dyDescent="0.25">
      <c r="B3" s="39" t="s">
        <v>68</v>
      </c>
      <c r="C3" t="s">
        <v>69</v>
      </c>
    </row>
    <row r="4" spans="2:3" x14ac:dyDescent="0.25">
      <c r="B4" s="39" t="s">
        <v>233</v>
      </c>
      <c r="C4" t="s">
        <v>234</v>
      </c>
    </row>
    <row r="5" spans="2:3" x14ac:dyDescent="0.25">
      <c r="B5" s="39" t="s">
        <v>235</v>
      </c>
      <c r="C5" t="s">
        <v>236</v>
      </c>
    </row>
    <row r="6" spans="2:3" x14ac:dyDescent="0.25">
      <c r="B6" s="39" t="s">
        <v>237</v>
      </c>
      <c r="C6">
        <v>21</v>
      </c>
    </row>
    <row r="7" spans="2:3" x14ac:dyDescent="0.25">
      <c r="B7" s="39" t="s">
        <v>238</v>
      </c>
      <c r="C7">
        <v>7</v>
      </c>
    </row>
    <row r="8" spans="2:3" x14ac:dyDescent="0.25">
      <c r="B8" s="39" t="s">
        <v>239</v>
      </c>
      <c r="C8" t="s">
        <v>240</v>
      </c>
    </row>
    <row r="9" spans="2:3" x14ac:dyDescent="0.25">
      <c r="B9" s="39" t="s">
        <v>241</v>
      </c>
      <c r="C9" t="s">
        <v>242</v>
      </c>
    </row>
    <row r="10" spans="2:3" x14ac:dyDescent="0.25">
      <c r="B10" s="39" t="s">
        <v>243</v>
      </c>
      <c r="C10" t="s">
        <v>244</v>
      </c>
    </row>
    <row r="11" spans="2:3" x14ac:dyDescent="0.25">
      <c r="B11" s="39" t="s">
        <v>245</v>
      </c>
      <c r="C11" t="s">
        <v>246</v>
      </c>
    </row>
    <row r="12" spans="2:3" x14ac:dyDescent="0.25">
      <c r="B12" s="39" t="s">
        <v>92</v>
      </c>
      <c r="C12" t="s">
        <v>93</v>
      </c>
    </row>
    <row r="14" spans="2:5" x14ac:dyDescent="0.25">
      <c r="B14" s="38" t="s">
        <v>247</v>
      </c>
      <c r="C14" s="38" t="s">
        <v>74</v>
      </c>
      <c r="D14" s="38" t="s">
        <v>248</v>
      </c>
      <c r="E14" s="38" t="s">
        <v>249</v>
      </c>
    </row>
    <row r="15" spans="2:5" x14ac:dyDescent="0.25">
      <c r="B15" t="s">
        <v>250</v>
      </c>
      <c r="C15" t="s">
        <v>76</v>
      </c>
      <c r="D15">
        <v>8</v>
      </c>
      <c r="E15">
        <v>0</v>
      </c>
    </row>
    <row r="16" spans="2:5" x14ac:dyDescent="0.25">
      <c r="B16" t="s">
        <v>251</v>
      </c>
      <c r="C16" t="s">
        <v>78</v>
      </c>
      <c r="D16">
        <v>3</v>
      </c>
      <c r="E16">
        <v>0</v>
      </c>
    </row>
    <row r="17" spans="2:5" x14ac:dyDescent="0.25">
      <c r="B17" t="s">
        <v>252</v>
      </c>
      <c r="C17" t="s">
        <v>80</v>
      </c>
      <c r="D17">
        <v>3</v>
      </c>
      <c r="E17">
        <v>3</v>
      </c>
    </row>
    <row r="18" spans="2:5" x14ac:dyDescent="0.25">
      <c r="B18" t="s">
        <v>253</v>
      </c>
      <c r="C18" t="s">
        <v>82</v>
      </c>
      <c r="D18">
        <v>2</v>
      </c>
      <c r="E1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9"/>
  <sheetFormatPr defaultRowHeight="15" outlineLevelRow="0" outlineLevelCol="0" x14ac:dyDescent="55"/>
  <cols>
    <col min="2" max="2" width="10" customWidth="1"/>
    <col min="3" max="3" width="40" customWidth="1"/>
    <col min="4" max="5" width="10" customWidth="1"/>
    <col min="6" max="6" width="60" customWidth="1"/>
  </cols>
  <sheetData>
    <row r="1" spans="2:2" x14ac:dyDescent="0.25">
      <c r="B1" s="37" t="s">
        <v>254</v>
      </c>
    </row>
    <row r="2" spans="2:6" x14ac:dyDescent="0.25">
      <c r="B2" s="38" t="s">
        <v>113</v>
      </c>
      <c r="C2" s="38" t="s">
        <v>255</v>
      </c>
      <c r="D2" s="38" t="s">
        <v>256</v>
      </c>
      <c r="E2" s="38" t="s">
        <v>257</v>
      </c>
      <c r="F2" s="38" t="s">
        <v>258</v>
      </c>
    </row>
    <row r="3" spans="2:6" x14ac:dyDescent="0.25">
      <c r="B3" t="s">
        <v>120</v>
      </c>
      <c r="C3" t="s">
        <v>117</v>
      </c>
      <c r="D3" s="16">
        <v>2.88</v>
      </c>
      <c r="E3" s="16">
        <v>5.76</v>
      </c>
      <c r="F3" t="s">
        <v>259</v>
      </c>
    </row>
    <row r="4" spans="2:6" x14ac:dyDescent="0.25">
      <c r="B4" t="s">
        <v>124</v>
      </c>
      <c r="C4" t="s">
        <v>121</v>
      </c>
      <c r="D4" s="16">
        <v>3.24</v>
      </c>
      <c r="E4" s="16">
        <v>6.48</v>
      </c>
      <c r="F4" t="s">
        <v>260</v>
      </c>
    </row>
    <row r="5" spans="2:6" x14ac:dyDescent="0.25">
      <c r="B5" t="s">
        <v>132</v>
      </c>
      <c r="C5" t="s">
        <v>129</v>
      </c>
      <c r="D5" s="16">
        <v>9.6</v>
      </c>
      <c r="E5" s="16">
        <v>16.8</v>
      </c>
      <c r="F5" t="s">
        <v>261</v>
      </c>
    </row>
    <row r="6" spans="2:6" x14ac:dyDescent="0.25">
      <c r="B6" t="s">
        <v>171</v>
      </c>
      <c r="C6" t="s">
        <v>168</v>
      </c>
      <c r="D6" s="16">
        <v>12.48</v>
      </c>
      <c r="E6" s="16">
        <v>21.84</v>
      </c>
      <c r="F6" t="s">
        <v>262</v>
      </c>
    </row>
    <row r="7" spans="2:6" x14ac:dyDescent="0.25">
      <c r="B7" t="s">
        <v>157</v>
      </c>
      <c r="C7" t="s">
        <v>154</v>
      </c>
      <c r="D7" s="16">
        <v>9.36</v>
      </c>
      <c r="E7" s="16">
        <v>15.6</v>
      </c>
      <c r="F7" t="s">
        <v>263</v>
      </c>
    </row>
    <row r="8" spans="2:6" x14ac:dyDescent="0.25">
      <c r="B8" t="s">
        <v>161</v>
      </c>
      <c r="C8" t="s">
        <v>158</v>
      </c>
      <c r="D8" s="16">
        <v>5.62</v>
      </c>
      <c r="E8" s="16">
        <v>9.36</v>
      </c>
      <c r="F8" t="s">
        <v>264</v>
      </c>
    </row>
    <row r="9" spans="2:6" x14ac:dyDescent="0.25">
      <c r="B9" t="s">
        <v>166</v>
      </c>
      <c r="C9" t="s">
        <v>163</v>
      </c>
      <c r="D9" s="16">
        <v>7.8</v>
      </c>
      <c r="E9" s="16">
        <v>12.48</v>
      </c>
      <c r="F9" t="s">
        <v>265</v>
      </c>
    </row>
    <row r="10" spans="2:6" x14ac:dyDescent="0.25">
      <c r="B10" t="s">
        <v>185</v>
      </c>
      <c r="C10" t="s">
        <v>182</v>
      </c>
      <c r="D10" s="16">
        <v>3.6</v>
      </c>
      <c r="E10" s="16">
        <v>7.2</v>
      </c>
      <c r="F10" t="s">
        <v>266</v>
      </c>
    </row>
    <row r="11" spans="2:6" x14ac:dyDescent="0.25">
      <c r="B11" t="s">
        <v>205</v>
      </c>
      <c r="C11" t="s">
        <v>203</v>
      </c>
      <c r="D11" s="16">
        <v>5.4</v>
      </c>
      <c r="E11" s="16">
        <v>9</v>
      </c>
      <c r="F11" t="s">
        <v>267</v>
      </c>
    </row>
    <row r="12" spans="2:6" x14ac:dyDescent="0.25">
      <c r="B12" t="s">
        <v>197</v>
      </c>
      <c r="C12" t="s">
        <v>195</v>
      </c>
      <c r="D12" s="16">
        <v>4</v>
      </c>
      <c r="E12" s="16">
        <v>8</v>
      </c>
      <c r="F12" t="s">
        <v>268</v>
      </c>
    </row>
    <row r="13" spans="2:6" x14ac:dyDescent="0.25">
      <c r="B13" t="s">
        <v>217</v>
      </c>
      <c r="C13" t="s">
        <v>215</v>
      </c>
      <c r="D13" s="16">
        <v>4</v>
      </c>
      <c r="E13" s="16">
        <v>8</v>
      </c>
      <c r="F13" t="s">
        <v>269</v>
      </c>
    </row>
    <row r="16" spans="2:10" x14ac:dyDescent="0.25">
      <c r="B16" s="38" t="s">
        <v>113</v>
      </c>
      <c r="C16" s="38" t="s">
        <v>255</v>
      </c>
      <c r="D16" s="38" t="s">
        <v>270</v>
      </c>
      <c r="E16" s="38" t="s">
        <v>271</v>
      </c>
      <c r="F16" s="38" t="s">
        <v>272</v>
      </c>
      <c r="G16" s="38" t="s">
        <v>256</v>
      </c>
      <c r="H16" s="38" t="s">
        <v>257</v>
      </c>
      <c r="I16" s="38" t="s">
        <v>90</v>
      </c>
      <c r="J16" s="38" t="s">
        <v>273</v>
      </c>
    </row>
    <row r="17" spans="2:10" x14ac:dyDescent="0.25">
      <c r="B17" t="s">
        <v>120</v>
      </c>
      <c r="C17" t="s">
        <v>117</v>
      </c>
      <c r="D17" t="s">
        <v>120</v>
      </c>
      <c r="E17">
        <v>1</v>
      </c>
      <c r="F17" t="s">
        <v>274</v>
      </c>
      <c r="G17" s="16">
        <v>2.88</v>
      </c>
      <c r="H17" s="16">
        <v>5.76</v>
      </c>
      <c r="I17" t="s">
        <v>275</v>
      </c>
      <c r="J17" t="s">
        <v>276</v>
      </c>
    </row>
    <row r="18" spans="2:10" x14ac:dyDescent="0.25">
      <c r="B18" t="s">
        <v>124</v>
      </c>
      <c r="C18" t="s">
        <v>121</v>
      </c>
      <c r="D18" t="s">
        <v>124</v>
      </c>
      <c r="E18">
        <v>1</v>
      </c>
      <c r="F18" t="s">
        <v>277</v>
      </c>
      <c r="G18" s="16">
        <v>3.24</v>
      </c>
      <c r="H18" s="16">
        <v>6.48</v>
      </c>
      <c r="I18" t="s">
        <v>275</v>
      </c>
      <c r="J18" t="s">
        <v>276</v>
      </c>
    </row>
    <row r="19" spans="2:10" x14ac:dyDescent="0.25">
      <c r="B19" t="s">
        <v>128</v>
      </c>
      <c r="C19" t="s">
        <v>125</v>
      </c>
      <c r="D19" t="s">
        <v>124</v>
      </c>
      <c r="E19">
        <v>0.6</v>
      </c>
      <c r="F19" t="s">
        <v>278</v>
      </c>
      <c r="G19" s="16">
        <v>1.94</v>
      </c>
      <c r="H19" s="16">
        <v>3.89</v>
      </c>
      <c r="I19" t="s">
        <v>275</v>
      </c>
      <c r="J19" t="s">
        <v>276</v>
      </c>
    </row>
    <row r="20" spans="2:10" x14ac:dyDescent="0.25">
      <c r="B20" t="s">
        <v>132</v>
      </c>
      <c r="C20" t="s">
        <v>129</v>
      </c>
      <c r="D20" t="s">
        <v>132</v>
      </c>
      <c r="E20">
        <v>1</v>
      </c>
      <c r="F20" t="s">
        <v>279</v>
      </c>
      <c r="G20" s="16">
        <v>9.6</v>
      </c>
      <c r="H20" s="16">
        <v>16.8</v>
      </c>
      <c r="I20" t="s">
        <v>275</v>
      </c>
      <c r="J20" t="s">
        <v>276</v>
      </c>
    </row>
    <row r="21" spans="2:10" x14ac:dyDescent="0.25">
      <c r="B21" t="s">
        <v>136</v>
      </c>
      <c r="C21" t="s">
        <v>133</v>
      </c>
      <c r="D21" t="s">
        <v>132</v>
      </c>
      <c r="E21">
        <v>0.625</v>
      </c>
      <c r="F21" t="s">
        <v>280</v>
      </c>
      <c r="G21" s="16">
        <v>9.6</v>
      </c>
      <c r="H21" s="16">
        <v>16.8</v>
      </c>
      <c r="I21" t="s">
        <v>275</v>
      </c>
      <c r="J21" t="s">
        <v>276</v>
      </c>
    </row>
    <row r="22" spans="2:10" x14ac:dyDescent="0.25">
      <c r="B22" t="s">
        <v>171</v>
      </c>
      <c r="C22" t="s">
        <v>168</v>
      </c>
      <c r="D22" t="s">
        <v>171</v>
      </c>
      <c r="E22">
        <v>1</v>
      </c>
      <c r="F22" t="s">
        <v>262</v>
      </c>
      <c r="G22" s="16">
        <v>12.48</v>
      </c>
      <c r="H22" s="16">
        <v>21.84</v>
      </c>
      <c r="I22" t="s">
        <v>275</v>
      </c>
      <c r="J22" t="s">
        <v>43</v>
      </c>
    </row>
    <row r="23" spans="2:10" x14ac:dyDescent="0.25">
      <c r="B23" t="s">
        <v>157</v>
      </c>
      <c r="C23" t="s">
        <v>154</v>
      </c>
      <c r="D23" t="s">
        <v>157</v>
      </c>
      <c r="E23">
        <v>1</v>
      </c>
      <c r="F23" t="s">
        <v>263</v>
      </c>
      <c r="G23" s="16">
        <v>9.36</v>
      </c>
      <c r="H23" s="16">
        <v>15.6</v>
      </c>
      <c r="I23" t="s">
        <v>275</v>
      </c>
      <c r="J23" t="s">
        <v>43</v>
      </c>
    </row>
    <row r="24" spans="2:10" x14ac:dyDescent="0.25">
      <c r="B24" t="s">
        <v>161</v>
      </c>
      <c r="C24" t="s">
        <v>158</v>
      </c>
      <c r="D24" t="s">
        <v>161</v>
      </c>
      <c r="E24">
        <v>1</v>
      </c>
      <c r="F24" t="s">
        <v>264</v>
      </c>
      <c r="G24" s="16">
        <v>5.62</v>
      </c>
      <c r="H24" s="16">
        <v>9.36</v>
      </c>
      <c r="I24" t="s">
        <v>275</v>
      </c>
      <c r="J24" t="s">
        <v>43</v>
      </c>
    </row>
    <row r="25" spans="2:10" x14ac:dyDescent="0.25">
      <c r="B25" t="s">
        <v>166</v>
      </c>
      <c r="C25" t="s">
        <v>163</v>
      </c>
      <c r="D25" t="s">
        <v>166</v>
      </c>
      <c r="E25">
        <v>1</v>
      </c>
      <c r="F25" t="s">
        <v>265</v>
      </c>
      <c r="G25" s="16">
        <v>7.8</v>
      </c>
      <c r="H25" s="16">
        <v>12.48</v>
      </c>
      <c r="I25" t="s">
        <v>275</v>
      </c>
      <c r="J25" t="s">
        <v>43</v>
      </c>
    </row>
    <row r="26" spans="2:10" x14ac:dyDescent="0.25">
      <c r="B26" t="s">
        <v>185</v>
      </c>
      <c r="C26" t="s">
        <v>182</v>
      </c>
      <c r="D26" t="s">
        <v>185</v>
      </c>
      <c r="E26">
        <v>1</v>
      </c>
      <c r="F26" t="s">
        <v>281</v>
      </c>
      <c r="G26" s="16">
        <v>3.6</v>
      </c>
      <c r="H26" s="16">
        <v>7.2</v>
      </c>
      <c r="I26" t="s">
        <v>275</v>
      </c>
      <c r="J26" t="s">
        <v>276</v>
      </c>
    </row>
    <row r="27" spans="2:10" x14ac:dyDescent="0.25">
      <c r="B27" t="s">
        <v>205</v>
      </c>
      <c r="C27" t="s">
        <v>203</v>
      </c>
      <c r="D27" t="s">
        <v>205</v>
      </c>
      <c r="E27">
        <v>1</v>
      </c>
      <c r="F27" t="s">
        <v>267</v>
      </c>
      <c r="G27" s="16">
        <v>5.4</v>
      </c>
      <c r="H27" s="16">
        <v>9</v>
      </c>
      <c r="I27" t="s">
        <v>275</v>
      </c>
      <c r="J27" t="s">
        <v>276</v>
      </c>
    </row>
    <row r="28" spans="2:10" x14ac:dyDescent="0.25">
      <c r="B28" t="s">
        <v>197</v>
      </c>
      <c r="C28" t="s">
        <v>195</v>
      </c>
      <c r="D28" t="s">
        <v>197</v>
      </c>
      <c r="E28">
        <v>1</v>
      </c>
      <c r="F28" t="s">
        <v>268</v>
      </c>
      <c r="G28" s="16">
        <v>4</v>
      </c>
      <c r="H28" s="16">
        <v>8</v>
      </c>
      <c r="I28" t="s">
        <v>282</v>
      </c>
      <c r="J28" t="s">
        <v>43</v>
      </c>
    </row>
    <row r="29" spans="2:10" x14ac:dyDescent="0.25">
      <c r="B29" t="s">
        <v>217</v>
      </c>
      <c r="C29" t="s">
        <v>215</v>
      </c>
      <c r="D29" t="s">
        <v>217</v>
      </c>
      <c r="E29">
        <v>1</v>
      </c>
      <c r="F29" t="s">
        <v>269</v>
      </c>
      <c r="G29" s="16">
        <v>4</v>
      </c>
      <c r="H29" s="16">
        <v>8</v>
      </c>
      <c r="I29" t="s">
        <v>282</v>
      </c>
      <c r="J29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1"/>
  <sheetFormatPr defaultRowHeight="15" outlineLevelRow="0" outlineLevelCol="0" x14ac:dyDescent="55"/>
  <cols>
    <col min="2" max="2" width="14" customWidth="1"/>
    <col min="3" max="3" width="50" customWidth="1"/>
    <col min="4" max="4" width="40" customWidth="1"/>
  </cols>
  <sheetData>
    <row r="1" spans="2:2" x14ac:dyDescent="0.25">
      <c r="B1" s="37" t="s">
        <v>283</v>
      </c>
    </row>
    <row r="2" spans="2:4" x14ac:dyDescent="0.25">
      <c r="B2" s="38" t="s">
        <v>284</v>
      </c>
      <c r="C2" s="38" t="s">
        <v>255</v>
      </c>
      <c r="D2" s="38" t="s">
        <v>41</v>
      </c>
    </row>
    <row r="3" spans="2:4" x14ac:dyDescent="0.25">
      <c r="B3" t="s">
        <v>285</v>
      </c>
      <c r="C3" t="s">
        <v>286</v>
      </c>
      <c r="D3" t="s">
        <v>287</v>
      </c>
    </row>
    <row r="4" spans="2:4" x14ac:dyDescent="0.25">
      <c r="B4" t="s">
        <v>288</v>
      </c>
      <c r="C4" t="s">
        <v>289</v>
      </c>
      <c r="D4" t="s">
        <v>157</v>
      </c>
    </row>
    <row r="5" spans="2:4" x14ac:dyDescent="0.25">
      <c r="B5" t="s">
        <v>290</v>
      </c>
      <c r="C5" t="s">
        <v>291</v>
      </c>
      <c r="D5" t="s">
        <v>292</v>
      </c>
    </row>
    <row r="6" spans="2:4" x14ac:dyDescent="0.25">
      <c r="B6" t="s">
        <v>293</v>
      </c>
      <c r="C6" t="s">
        <v>294</v>
      </c>
      <c r="D6" t="s">
        <v>161</v>
      </c>
    </row>
    <row r="7" spans="2:4" x14ac:dyDescent="0.25">
      <c r="B7" t="s">
        <v>295</v>
      </c>
      <c r="C7" t="s">
        <v>296</v>
      </c>
      <c r="D7" t="s">
        <v>297</v>
      </c>
    </row>
    <row r="8" spans="2:4" x14ac:dyDescent="0.25">
      <c r="B8" t="s">
        <v>298</v>
      </c>
      <c r="C8" t="s">
        <v>299</v>
      </c>
      <c r="D8" t="s">
        <v>161</v>
      </c>
    </row>
    <row r="9" spans="2:4" x14ac:dyDescent="0.25">
      <c r="B9" t="s">
        <v>300</v>
      </c>
      <c r="C9" t="s">
        <v>301</v>
      </c>
      <c r="D9" t="s">
        <v>161</v>
      </c>
    </row>
    <row r="10" spans="2:4" x14ac:dyDescent="0.25">
      <c r="B10" t="s">
        <v>302</v>
      </c>
      <c r="C10" t="s">
        <v>303</v>
      </c>
      <c r="D10" t="s">
        <v>157</v>
      </c>
    </row>
    <row r="11" spans="2:4" x14ac:dyDescent="0.25">
      <c r="B11" t="s">
        <v>304</v>
      </c>
      <c r="C11" t="s">
        <v>305</v>
      </c>
      <c r="D11" t="s">
        <v>166</v>
      </c>
    </row>
    <row r="12" spans="2:4" x14ac:dyDescent="0.25">
      <c r="B12" t="s">
        <v>306</v>
      </c>
      <c r="C12" t="s">
        <v>307</v>
      </c>
      <c r="D12" t="s">
        <v>166</v>
      </c>
    </row>
    <row r="13" spans="2:4" x14ac:dyDescent="0.25">
      <c r="B13" t="s">
        <v>308</v>
      </c>
      <c r="C13" t="s">
        <v>309</v>
      </c>
      <c r="D13" t="s">
        <v>166</v>
      </c>
    </row>
    <row r="14" spans="2:4" x14ac:dyDescent="0.25">
      <c r="B14" t="s">
        <v>310</v>
      </c>
      <c r="C14" t="s">
        <v>311</v>
      </c>
      <c r="D14" t="s">
        <v>312</v>
      </c>
    </row>
    <row r="15" spans="2:4" x14ac:dyDescent="0.25">
      <c r="B15" t="s">
        <v>313</v>
      </c>
      <c r="C15" t="s">
        <v>314</v>
      </c>
      <c r="D15" t="s">
        <v>315</v>
      </c>
    </row>
    <row r="16" spans="2:4" x14ac:dyDescent="0.25">
      <c r="B16" t="s">
        <v>316</v>
      </c>
      <c r="C16" t="s">
        <v>317</v>
      </c>
      <c r="D16" t="s">
        <v>318</v>
      </c>
    </row>
    <row r="17" spans="2:4" x14ac:dyDescent="0.25">
      <c r="B17" t="s">
        <v>319</v>
      </c>
      <c r="C17" t="s">
        <v>320</v>
      </c>
      <c r="D17" t="s">
        <v>321</v>
      </c>
    </row>
    <row r="18" spans="2:4" x14ac:dyDescent="0.25">
      <c r="B18" t="s">
        <v>322</v>
      </c>
      <c r="C18" t="s">
        <v>323</v>
      </c>
      <c r="D18" t="s">
        <v>292</v>
      </c>
    </row>
    <row r="19" spans="2:4" x14ac:dyDescent="0.25">
      <c r="B19" t="s">
        <v>184</v>
      </c>
      <c r="C19" t="s">
        <v>324</v>
      </c>
      <c r="D19" t="s">
        <v>325</v>
      </c>
    </row>
    <row r="20" spans="2:4" x14ac:dyDescent="0.25">
      <c r="B20" t="s">
        <v>326</v>
      </c>
      <c r="C20" t="s">
        <v>327</v>
      </c>
      <c r="D20" t="s">
        <v>328</v>
      </c>
    </row>
    <row r="21" spans="2:4" x14ac:dyDescent="0.25">
      <c r="B21" t="s">
        <v>329</v>
      </c>
      <c r="C21" t="s">
        <v>330</v>
      </c>
      <c r="D21" t="s">
        <v>331</v>
      </c>
    </row>
    <row r="22" spans="2:4" x14ac:dyDescent="0.25">
      <c r="B22" t="s">
        <v>332</v>
      </c>
      <c r="C22" t="s">
        <v>333</v>
      </c>
      <c r="D22" t="s">
        <v>124</v>
      </c>
    </row>
    <row r="23" spans="2:4" x14ac:dyDescent="0.25">
      <c r="B23" t="s">
        <v>334</v>
      </c>
      <c r="C23" t="s">
        <v>335</v>
      </c>
      <c r="D23" t="s">
        <v>336</v>
      </c>
    </row>
    <row r="24" spans="2:4" x14ac:dyDescent="0.25">
      <c r="B24" t="s">
        <v>337</v>
      </c>
      <c r="C24" t="s">
        <v>338</v>
      </c>
      <c r="D24" t="s">
        <v>339</v>
      </c>
    </row>
    <row r="25" spans="2:4" x14ac:dyDescent="0.25">
      <c r="B25" t="s">
        <v>340</v>
      </c>
      <c r="C25" t="s">
        <v>341</v>
      </c>
      <c r="D25" t="s">
        <v>342</v>
      </c>
    </row>
    <row r="26" spans="2:4" x14ac:dyDescent="0.25">
      <c r="B26" t="s">
        <v>343</v>
      </c>
      <c r="C26" t="s">
        <v>344</v>
      </c>
      <c r="D26" t="s">
        <v>136</v>
      </c>
    </row>
    <row r="29" spans="2:2" x14ac:dyDescent="0.25">
      <c r="B29" s="39" t="s">
        <v>345</v>
      </c>
    </row>
    <row r="30" spans="2:4" x14ac:dyDescent="0.25">
      <c r="B30" t="s">
        <v>197</v>
      </c>
      <c r="C30" t="s">
        <v>195</v>
      </c>
      <c r="D30" t="s">
        <v>346</v>
      </c>
    </row>
    <row r="31" spans="2:4" x14ac:dyDescent="0.25">
      <c r="B31" t="s">
        <v>217</v>
      </c>
      <c r="C31" t="s">
        <v>215</v>
      </c>
      <c r="D31" t="s">
        <v>347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"/>
  <sheetFormatPr defaultRowHeight="15" outlineLevelRow="0" outlineLevelCol="0" x14ac:dyDescent="55"/>
  <cols>
    <col min="2" max="2" width="42" customWidth="1"/>
    <col min="3" max="4" width="12" customWidth="1"/>
    <col min="5" max="5" width="40" customWidth="1"/>
  </cols>
  <sheetData>
    <row r="1" spans="2:2" x14ac:dyDescent="0.25">
      <c r="B1" s="37" t="s">
        <v>348</v>
      </c>
    </row>
    <row r="2" spans="2:4" x14ac:dyDescent="0.25">
      <c r="B2" s="38" t="s">
        <v>349</v>
      </c>
      <c r="C2" s="38" t="s">
        <v>350</v>
      </c>
      <c r="D2" s="38" t="s">
        <v>351</v>
      </c>
    </row>
    <row r="3" spans="2:4" x14ac:dyDescent="0.25">
      <c r="B3" t="s">
        <v>352</v>
      </c>
      <c r="C3">
        <v>2</v>
      </c>
      <c r="D3">
        <v>5</v>
      </c>
    </row>
    <row r="4" spans="2:4" x14ac:dyDescent="0.25">
      <c r="B4" t="s">
        <v>353</v>
      </c>
      <c r="C4">
        <v>3</v>
      </c>
      <c r="D4">
        <v>8</v>
      </c>
    </row>
    <row r="5" spans="2:4" x14ac:dyDescent="0.25">
      <c r="B5" t="s">
        <v>354</v>
      </c>
      <c r="C5">
        <v>10</v>
      </c>
      <c r="D5">
        <v>20</v>
      </c>
    </row>
    <row r="6" spans="2:4" x14ac:dyDescent="0.25">
      <c r="B6" t="s">
        <v>355</v>
      </c>
      <c r="C6">
        <v>20</v>
      </c>
      <c r="D6">
        <v>40</v>
      </c>
    </row>
    <row r="7" spans="2:4" x14ac:dyDescent="0.25">
      <c r="B7" t="s">
        <v>356</v>
      </c>
      <c r="C7">
        <v>40</v>
      </c>
      <c r="D7">
        <v>90</v>
      </c>
    </row>
    <row r="8" spans="2:4" x14ac:dyDescent="0.25">
      <c r="B8" t="s">
        <v>357</v>
      </c>
      <c r="C8">
        <v>0.05</v>
      </c>
      <c r="D8">
        <v>0.15</v>
      </c>
    </row>
    <row r="9" spans="2:4" x14ac:dyDescent="0.25">
      <c r="B9" t="s">
        <v>358</v>
      </c>
      <c r="C9">
        <v>20</v>
      </c>
      <c r="D9">
        <v>60</v>
      </c>
    </row>
    <row r="10" spans="2:4" x14ac:dyDescent="0.25">
      <c r="B10" t="s">
        <v>359</v>
      </c>
      <c r="C10">
        <v>5</v>
      </c>
      <c r="D10">
        <v>15</v>
      </c>
    </row>
    <row r="11" spans="2:4" x14ac:dyDescent="0.25">
      <c r="B11" t="s">
        <v>360</v>
      </c>
      <c r="C11">
        <v>1.3</v>
      </c>
      <c r="D11">
        <v>1.8</v>
      </c>
    </row>
    <row r="12" spans="2:3" x14ac:dyDescent="0.25">
      <c r="B12" t="s">
        <v>361</v>
      </c>
      <c r="C12">
        <v>0.5</v>
      </c>
    </row>
    <row r="13" spans="2:3" x14ac:dyDescent="0.25">
      <c r="B13" t="s">
        <v>362</v>
      </c>
      <c r="C13">
        <v>2</v>
      </c>
    </row>
    <row r="14" spans="2:3" x14ac:dyDescent="0.25">
      <c r="B14" t="s">
        <v>363</v>
      </c>
      <c r="C14">
        <v>8</v>
      </c>
    </row>
    <row r="15" spans="2:3" x14ac:dyDescent="0.25">
      <c r="B15" t="s">
        <v>62</v>
      </c>
      <c r="C15">
        <v>40</v>
      </c>
    </row>
    <row r="16" spans="2:3" x14ac:dyDescent="0.25">
      <c r="B16" t="s">
        <v>364</v>
      </c>
      <c r="C16">
        <v>1.25</v>
      </c>
    </row>
    <row r="19" spans="2:2" x14ac:dyDescent="0.25">
      <c r="B19" s="39" t="s">
        <v>365</v>
      </c>
    </row>
    <row r="20" spans="2:2" x14ac:dyDescent="0.25">
      <c r="B20" t="s">
        <v>366</v>
      </c>
    </row>
    <row r="22" spans="2:2" x14ac:dyDescent="0.25">
      <c r="B22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"/>
  <sheetFormatPr defaultRowHeight="15" outlineLevelRow="0" outlineLevelCol="0" x14ac:dyDescent="55"/>
  <cols>
    <col min="2" max="2" width="36" customWidth="1"/>
    <col min="3" max="3" width="10" customWidth="1"/>
    <col min="4" max="4" width="90" customWidth="1"/>
  </cols>
  <sheetData>
    <row r="1" spans="2:2" x14ac:dyDescent="0.25">
      <c r="B1" s="37" t="s">
        <v>368</v>
      </c>
    </row>
    <row r="2" spans="2:4" x14ac:dyDescent="0.25">
      <c r="B2" s="38" t="s">
        <v>369</v>
      </c>
      <c r="C2" s="38" t="s">
        <v>370</v>
      </c>
      <c r="D2" s="38" t="s">
        <v>371</v>
      </c>
    </row>
    <row r="3" spans="2:4" x14ac:dyDescent="0.25">
      <c r="B3" t="s">
        <v>372</v>
      </c>
      <c r="C3" t="s">
        <v>373</v>
      </c>
      <c r="D3" t="s">
        <v>374</v>
      </c>
    </row>
    <row r="4" spans="2:4" x14ac:dyDescent="0.25">
      <c r="B4" t="s">
        <v>375</v>
      </c>
      <c r="C4" t="s">
        <v>373</v>
      </c>
      <c r="D4" t="s">
        <v>376</v>
      </c>
    </row>
    <row r="5" spans="2:4" x14ac:dyDescent="0.25">
      <c r="B5" t="s">
        <v>377</v>
      </c>
      <c r="C5" t="s">
        <v>373</v>
      </c>
      <c r="D5" t="s">
        <v>378</v>
      </c>
    </row>
    <row r="6" spans="2:4" x14ac:dyDescent="0.25">
      <c r="B6" t="s">
        <v>379</v>
      </c>
      <c r="C6" t="s">
        <v>373</v>
      </c>
      <c r="D6" t="s">
        <v>380</v>
      </c>
    </row>
    <row r="7" spans="2:4" x14ac:dyDescent="0.25">
      <c r="B7" t="s">
        <v>381</v>
      </c>
      <c r="C7" t="s">
        <v>373</v>
      </c>
      <c r="D7" t="s">
        <v>382</v>
      </c>
    </row>
    <row r="8" spans="2:4" x14ac:dyDescent="0.25">
      <c r="B8" t="s">
        <v>383</v>
      </c>
      <c r="C8" t="s">
        <v>373</v>
      </c>
      <c r="D8" t="s">
        <v>384</v>
      </c>
    </row>
    <row r="9" spans="2:4" x14ac:dyDescent="0.25">
      <c r="B9" t="s">
        <v>385</v>
      </c>
      <c r="C9" t="s">
        <v>373</v>
      </c>
      <c r="D9" t="s">
        <v>386</v>
      </c>
    </row>
    <row r="10" spans="2:4" x14ac:dyDescent="0.25">
      <c r="B10" t="s">
        <v>387</v>
      </c>
      <c r="C10" t="s">
        <v>373</v>
      </c>
      <c r="D10" t="s">
        <v>388</v>
      </c>
    </row>
    <row r="11" spans="2:4" x14ac:dyDescent="0.25">
      <c r="B11" t="s">
        <v>389</v>
      </c>
      <c r="C11" t="s">
        <v>373</v>
      </c>
      <c r="D11" t="s">
        <v>390</v>
      </c>
    </row>
    <row r="14" spans="2:2" x14ac:dyDescent="0.25">
      <c r="B14" s="39" t="s">
        <v>391</v>
      </c>
    </row>
    <row r="15" spans="2:4" x14ac:dyDescent="0.25">
      <c r="B15" s="38" t="s">
        <v>392</v>
      </c>
      <c r="C15" s="38" t="s">
        <v>393</v>
      </c>
      <c r="D15" s="38" t="s">
        <v>394</v>
      </c>
    </row>
    <row r="16" spans="2:2" x14ac:dyDescent="0.25">
      <c r="B16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Dev Backend Estimates</vt:lpstr>
      <vt:lpstr>Dev Mobile Estimates</vt:lpstr>
      <vt:lpstr>Dev Web Estimates</vt:lpstr>
      <vt:lpstr>QA Estimates</vt:lpstr>
      <vt:lpstr>Design Estimates</vt:lpstr>
      <vt:lpstr>Other Estimates</vt:lpstr>
      <vt:lpstr>All Tasks</vt:lpstr>
      <vt:lpstr>Confidence</vt:lpstr>
      <vt:lpstr>Anchors</vt:lpstr>
      <vt:lpstr>Traceability</vt:lpstr>
      <vt:lpstr>Parameters</vt:lpstr>
      <vt:lpstr>Gates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Factory</dc:creator>
  <dc:title>Estimation template (styles only)</dc:title>
  <cp:lastModifiedBy>Unknown</cp:lastModifiedBy>
  <dcterms:created xsi:type="dcterms:W3CDTF">2026-09-30T17:16:16Z</dcterms:created>
  <dcterms:modified xsi:type="dcterms:W3CDTF">2026-09-30T17:16:16Z</dcterms:modified>
</cp:coreProperties>
</file>