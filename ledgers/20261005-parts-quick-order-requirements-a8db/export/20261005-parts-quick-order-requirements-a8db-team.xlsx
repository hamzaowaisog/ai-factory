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v Backend Estimates" state="visible" r:id="rId5"/>
    <sheet sheetId="3" name="Dev Mobile Estimates" state="visible" r:id="rId6"/>
    <sheet sheetId="4" name="Dev Web Estimates" state="visible" r:id="rId7"/>
    <sheet sheetId="5" name="QA Estimates" state="visible" r:id="rId8"/>
    <sheet sheetId="6" name="Design Estimates" state="visible" r:id="rId9"/>
    <sheet sheetId="7" name="Other Estimates" state="visible" r:id="rId10"/>
    <sheet sheetId="8" name="All Tasks" state="visible" r:id="rId11"/>
    <sheet sheetId="9" name="Confidence" state="visible" r:id="rId12"/>
    <sheet sheetId="10" name="Anchors" state="visible" r:id="rId13"/>
    <sheet sheetId="11" name="Traceability" state="visible" r:id="rId14"/>
    <sheet sheetId="12" name="Parameters" state="visible" r:id="rId15"/>
    <sheet sheetId="13" name="Gates" state="visible" r:id="rId16"/>
  </sheets>
  <calcPr calcId="171027"/>
</workbook>
</file>

<file path=xl/sharedStrings.xml><?xml version="1.0" encoding="utf-8"?>
<sst xmlns="http://schemas.openxmlformats.org/spreadsheetml/2006/main" count="1431" uniqueCount="538">
  <si>
    <t>Folio3 Project Estimation</t>
  </si>
  <si>
    <t>Parts Quick Order</t>
  </si>
  <si>
    <t>Summary of Estimates</t>
  </si>
  <si>
    <t>Client Name</t>
  </si>
  <si>
    <t>Demo Garage</t>
  </si>
  <si>
    <t>Project Manager</t>
  </si>
  <si>
    <t>mhamza</t>
  </si>
  <si>
    <t>Date</t>
  </si>
  <si>
    <t>2026-10-05</t>
  </si>
  <si>
    <t>Version</t>
  </si>
  <si>
    <t>1</t>
  </si>
  <si>
    <t>Human effort (in hours)</t>
  </si>
  <si>
    <t>Agent (in hours)</t>
  </si>
  <si>
    <t>Task Summary</t>
  </si>
  <si>
    <t>Human min (h)</t>
  </si>
  <si>
    <t>Human max (h)</t>
  </si>
  <si>
    <t>Comments</t>
  </si>
  <si>
    <t>Agent min (h)</t>
  </si>
  <si>
    <t>Agent max (h)</t>
  </si>
  <si>
    <t>Avg</t>
  </si>
  <si>
    <t>Resources</t>
  </si>
  <si>
    <t>Weeks</t>
  </si>
  <si>
    <t>Backend Development Estimates</t>
  </si>
  <si>
    <t>Grand total of the Backend sheet</t>
  </si>
  <si>
    <t>Mobile Development Estimates</t>
  </si>
  <si>
    <t>Grand total of the Mobile sheet</t>
  </si>
  <si>
    <t>Admin Development Estimates</t>
  </si>
  <si>
    <t>Grand total of the Web / Admin sheet</t>
  </si>
  <si>
    <t>QA Estimates</t>
  </si>
  <si>
    <t>Grand total of the QA sheet</t>
  </si>
  <si>
    <t>GD Estimates</t>
  </si>
  <si>
    <t>Other Estimates sheet</t>
  </si>
  <si>
    <t>PM Estimates</t>
  </si>
  <si>
    <t>PDM Estimates</t>
  </si>
  <si>
    <t>Cross-cutting Estimates</t>
  </si>
  <si>
    <t>Other Estimates sheet: deployment, documentation and the like</t>
  </si>
  <si>
    <t>Design Estimates</t>
  </si>
  <si>
    <t>Counted in the total only when Design is switched on below</t>
  </si>
  <si>
    <t>Total</t>
  </si>
  <si>
    <t>List of Special Considerations, where applicable:</t>
  </si>
  <si>
    <t>Tasks</t>
  </si>
  <si>
    <t>Action</t>
  </si>
  <si>
    <t/>
  </si>
  <si>
    <t>Application type (mobile, desktop, web)</t>
  </si>
  <si>
    <t>Backend + Web</t>
  </si>
  <si>
    <t>From the tracks that have work</t>
  </si>
  <si>
    <t>Platforms/OS supported</t>
  </si>
  <si>
    <t>Not specified</t>
  </si>
  <si>
    <t>Confirm with the client</t>
  </si>
  <si>
    <t>Browsers supported</t>
  </si>
  <si>
    <t>Assumed: The latest two versions of Chrome, Edge, Safari and Firefox.</t>
  </si>
  <si>
    <t>Factory assumption ASM-17, confirm with the client</t>
  </si>
  <si>
    <t>Deployment (cloud, dedicated server, enterprise internal network)</t>
  </si>
  <si>
    <t>Performance, Load requirements</t>
  </si>
  <si>
    <t>Assumed: Up to 1,000 users and 100,000 records in the first year.</t>
  </si>
  <si>
    <t>Factory assumption ASM-16, confirm with the client</t>
  </si>
  <si>
    <t>Security requirements</t>
  </si>
  <si>
    <t>Documentation requirements</t>
  </si>
  <si>
    <t>Other custom?</t>
  </si>
  <si>
    <t>No</t>
  </si>
  <si>
    <t>Parameters</t>
  </si>
  <si>
    <t>Include Design in total</t>
  </si>
  <si>
    <t>Yes</t>
  </si>
  <si>
    <t>Hours per week</t>
  </si>
  <si>
    <t>Feedback rounds</t>
  </si>
  <si>
    <t>Stack chosen by</t>
  </si>
  <si>
    <t>client</t>
  </si>
  <si>
    <t>Delivery model</t>
  </si>
  <si>
    <t>Solely agentic</t>
  </si>
  <si>
    <t>Size band</t>
  </si>
  <si>
    <t>M</t>
  </si>
  <si>
    <t>API credit cost (USD)</t>
  </si>
  <si>
    <t>Phase</t>
  </si>
  <si>
    <t>Min ($)</t>
  </si>
  <si>
    <t>Max ($)</t>
  </si>
  <si>
    <t>Based on</t>
  </si>
  <si>
    <t>planning</t>
  </si>
  <si>
    <t>measured: p10-p90 of 4 runs (4 ledger)</t>
  </si>
  <si>
    <t>design</t>
  </si>
  <si>
    <t>breakdown-estimate</t>
  </si>
  <si>
    <t>measured: p10-p90 of 1 run (1 ledger)</t>
  </si>
  <si>
    <t>build</t>
  </si>
  <si>
    <t>measured: p10-p90 of 3 runs (3 eval)</t>
  </si>
  <si>
    <t>verification</t>
  </si>
  <si>
    <t>measured: p10-p90 of 2 runs (2 eval)</t>
  </si>
  <si>
    <t>API credit cost total</t>
  </si>
  <si>
    <t>Confidence</t>
  </si>
  <si>
    <t>cold-start (14 measured records)</t>
  </si>
  <si>
    <t>Per task</t>
  </si>
  <si>
    <t>API min and max ($) on each task sheet: the task's share of build and verification, by its hours. A human task costs nothing; planning, design, breakdown and estimate are spent once per run.</t>
  </si>
  <si>
    <t>Agent hours</t>
  </si>
  <si>
    <t>The factory's own hours on each task, in J and K of every task sheet and in F and G above. A factory task has agent hours and no human hours; a joint task has both; a human task (client UAT, design approval, PM) has human hours only. Human hours are what people spend and what the totals count.</t>
  </si>
  <si>
    <t>Agent hours basis</t>
  </si>
  <si>
    <t>cold-start: each task's sized hours, a reference size, until this factory has built enough tasks of its class (3 or more)</t>
  </si>
  <si>
    <t>Elapsed time</t>
  </si>
  <si>
    <t>Planning (minutes)</t>
  </si>
  <si>
    <t>Build critical path (days)</t>
  </si>
  <si>
    <t>Assumptions</t>
  </si>
  <si>
    <t>Does the 'Place order' button also need the cart to have at least one line, or is that already covered because checkout is hidden when the cart is empty? → assumed: Covered already: checkout is hidden when the cart is empty, and the API also refuses an order with no lines</t>
  </si>
  <si>
    <t>Does placing (or cancelling) an order change the stock quantity in the existing parts database? → assumed: No: stock is read-only and orders never change it</t>
  </si>
  <si>
    <t>What happens when a cart quantity is more than the current stock (or the part is now out of stock) at the moment the buyer presses 'Place order'? → assumed: The API checks stock again, rejects the order, lowers the affected lines to the stock now available with 'Only n available', and keeps the cart</t>
  </si>
  <si>
    <t>Where is the cart kept? → assumed: In the browser's local storage for the signed-in buyer (kept across page reloads on the same device)</t>
  </si>
  <si>
    <t>How does the API find out which buyer is making a request through the existing company login? → assumed: The API checks the existing company login's session token or cookie and reads the buyer ID from it</t>
  </si>
  <si>
    <t>Nothing in this work moves an order to Packed, Dispatched or Delivered (no admin screens, no integrations). How do statuses change after Placed? → assumed: Staff update the status directly in the database, outside this work; the portal only shows it</t>
  </si>
  <si>
    <t>Which unit price is saved on an order line, and what does the order 'total' include? → assumed: The part's current price when the order is placed; total = subtotal + delivery charge</t>
  </si>
  <si>
    <t>How are 'ORD-' + 6-digit order numbers generated? → assumed: Sequential from a database sequence, zero-padded (ORD-000001)</t>
  </si>
  <si>
    <t>Should the delivery prices (£0 / £9.99), the stock thresholds (5) and the page size (20) be fixed in the code or set in configuration? → assumed: Fixed constants in the code</t>
  </si>
  <si>
    <t>What happens if the order's status changes from Placed (e.g. to Packed) after the buyer opened it but before they confirm cancelling? → assumed: The API cancels only if the status is still Placed; otherwise it refuses, shows a message and refreshes the order</t>
  </si>
  <si>
    <t>What happens if placing an order fails (network or server error)? → assumed: Show an error message, keep the cart and checkout details, and let the buyer try again</t>
  </si>
  <si>
    <t>What happens when a quantity is set to 0, left blank, set above 99, or isn't a whole number? → assumed: Set it to the nearest value in range (blank or 0 becomes 1, above 99 becomes 99)</t>
  </si>
  <si>
    <t>What do 'cart count' in the header and 'number of items' in My orders count? → assumed: The total of all quantities (2 filters + 1 pad = 3)</t>
  </si>
  <si>
    <t>How do the parts list filters and sort order work? → assumed: One category and one brand at a time (each with 'All'), brands taken from the parts data, sorted by name A–Z, back to page 1 whenever the search or a filter changes</t>
  </si>
  <si>
    <t>Is the delivery address remembered from the buyer's previous order? → assumed: No: typed fresh for each order</t>
  </si>
  <si>
    <t>Under what conditions is the 2-second load target measured, and how many buyers and orders are expected? → assumed: Up to 1,000 users and 100,000 records in the first year.</t>
  </si>
  <si>
    <t>Which browsers must be supported? → assumed: The latest two versions of Chrome, Edge, Safari and Firefox.</t>
  </si>
  <si>
    <t>Are orders written to the same PostgreSQL database that holds the existing parts? → assumed: Yes: new orders and order-lines tables in the same database, referring to parts by part number</t>
  </si>
  <si>
    <t>Spec question Q-1: If a part in the cart now has 0 stock, what should happen to that cart line? (One rule says the quantity can never go below 1. Another says it can never go above stock.) → Remove the line and show "&lt;part name&gt; is now out of stock" (assumed by the factory, hands-off)</t>
  </si>
  <si>
    <t>Spec question Q-2: If the buyer retries after a network error but the first order was actually saved, how should we stop the order being placed twice? → Disable "Place order" while a request is in progress, and on a network error tell the buyer to check My orders before retrying (assumed by the factory, hands-off)</t>
  </si>
  <si>
    <t>Spec question Q-3: The cart keeps a saved copy of each price, but orders are charged at the current price. How should the cart handle a price that has changed? → Fetch the current prices from the parts API when the cart opens, and show only those (assumed by the factory, hands-off)</t>
  </si>
  <si>
    <t>Spec question Q-4: Should the spec keep a separate requirement that the API rejects requests with no valid company-login session (status 401)? The request doesn't mention this. → Leave it out and rely on the existing company login as-is (assumed by the factory, hands-off)</t>
  </si>
  <si>
    <t>Spec question Q-5: When the cart opens and the request to the parts API for current prices fails (network or server error), what should the cart show and allow? The saved prices must never be shown. → Show the cart lines without prices or totals, show an error message with a "Try again" button, and hide checkout until current prices load (assumed by the factory, hands-off)</t>
  </si>
  <si>
    <t>Open risk: ASM-26 and AC-41.1 need GET /api/parts filtered to the cart's part numbers in a single call, but REQ-2/4/5 and ASM-19 only define q (at least 2 characters, substring match), category, brand and page, so no defined parameter can fetch exactly the cart's parts.</t>
  </si>
  <si>
    <t>Open risk: When the cart opens, only lines whose part now has 0 stock are handled; a line whose stock has dropped but is still above 0 (cart quantity 5, stock now 2) is left unclamped until the 409 at Place order, and REQ-14's clamp only runs when the buyer edits the quantity.</t>
  </si>
  <si>
    <t>Open risk: The order is charged at the server's current price, but the price can change between cart refresh and Place order; nothing says the buyer is told or asked to confirm, so the saved total can differ from the total on screen (payments risk).</t>
  </si>
  <si>
    <t>Gate time, cost and duration are assumed figures, labelled cold-start until the ledger has measured runs.</t>
  </si>
  <si>
    <t>Split before the build: EST-1, EST-3, EST-6, EST-13 (agent work over 16 h or very large is split into smaller tasks; the hours stay as estimated).</t>
  </si>
  <si>
    <t>Development Estimates for Parts Quick Order</t>
  </si>
  <si>
    <t>by mhamza</t>
  </si>
  <si>
    <t>Grand Total (in hours)</t>
  </si>
  <si>
    <t>Sum of development, other activities and research efforts.</t>
  </si>
  <si>
    <t>Agent total (h)</t>
  </si>
  <si>
    <t>S.No</t>
  </si>
  <si>
    <t>Task</t>
  </si>
  <si>
    <t>Executor</t>
  </si>
  <si>
    <t>Requirement id(s)</t>
  </si>
  <si>
    <t>Task id</t>
  </si>
  <si>
    <t>API min ($)</t>
  </si>
  <si>
    <t>API max ($)</t>
  </si>
  <si>
    <t>Portal shell, navigation and cross-cutting</t>
  </si>
  <si>
    <t>Environments, CI/CD and hosting for API and portal</t>
  </si>
  <si>
    <t>Environment setup delivers no requirement on its own (Three environments (dev, staging, production) with one CI/CD pipeline. No infrastructure as code is asked for, so it stays at typical rather than large. [ops-setup backend 8-14 h, external-dependency x1.4, verify hard x1.3, context partial x1.2])</t>
  </si>
  <si>
    <t>Joint</t>
  </si>
  <si>
    <t>EST-1</t>
  </si>
  <si>
    <t>Find parts</t>
  </si>
  <si>
    <t>GET /api/parts: search, filters, paging, stock state</t>
  </si>
  <si>
    <t>Sorted by name A–Z, 20 per page, total count; Fields image (or null), name, partNumber, brand, price in GBP with 2 decimals, stockState, stock (whole number); Stock state: In stock (≥5), Low stock (n left) (1–4), Out of stock (0); Search q of at least 2 characters, case-insensitive, on name or part number; 1 character applies no filter; One category and one brand filter combined with search; All means no filter; Empty result returns 200 with empty list and total 0; p95 under 500 ms with 5,000 parts (Search, 2 filters (category, brand) and paging, with a computed stock state. Only the parts table is queried, so no joins over 3+ tables: typical. [be-endpoint backend 3-6 h, rules-or-algorithm x1.3])</t>
  </si>
  <si>
    <t>Factory</t>
  </si>
  <si>
    <t>REQ-2, REQ-3, REQ-4, REQ-5, REQ-38</t>
  </si>
  <si>
    <t>EST-4</t>
  </si>
  <si>
    <t>GET /api/parts/brands</t>
  </si>
  <si>
    <t>Distinct brand list taken from the parts data (One plain distinct read with no filters or paging: small. [be-endpoint backend 3-6 h, small x0.6, verify easy x0.9])</t>
  </si>
  <si>
    <t>REQ-5</t>
  </si>
  <si>
    <t>EST-5</t>
  </si>
  <si>
    <t>Placing orders (orders API)</t>
  </si>
  <si>
    <t>Orders data model, migrations and seed data</t>
  </si>
  <si>
    <t>orders table: buyer ID, order number, date placed, delivery address, delivery option (STANDARD/NEXT_DAY), total, status; order_lines table: order, part number (refers to existing parts), quantity, unit price; Status values Placed, Packed, Dispatched, Delivered, Cancelled; Database sequence for ORD- + 6 zero-padded digits (ORD-000001); Indexes on buyer and date placed for 100,000 order records (NFR-2); Parts table stays read-only; Seed of 5,000 parts for the load test (2 new entities (orders, order_lines), plus a sequence, indexes and seed data. That is within 'up to 3 entities': small. [be-data backend 4-8 h, small x0.6, verify easy x0.9])</t>
  </si>
  <si>
    <t>REQ-20, REQ-28, REQ-30, REQ-38</t>
  </si>
  <si>
    <t>EST-2</t>
  </si>
  <si>
    <t>POST /api/orders: place order rules</t>
  </si>
  <si>
    <t>Validation 400 with error field: no lines, quantity outside 1–99, unknown part number, address outside 5–200 characters, missing or unknown delivery option; Stock re-check: 409 listing each affected part number with available stock, no order saved; Unit price from current part price; client-sent price ignored; Total = subtotal + delivery charge (Standard £0.00, Next day £9.99); Status Placed and sequential order number ORD-000001; 201 response with orderNumber, status and total; Stock quantity in parts database left unchanged (11 rules: 5 validation rules, stock re-check, current price, total with delivery charge, status Placed, sequential number, stock left unchanged. 9-15 rules: large. [be-rules backend 8-14 h, large x1.6])</t>
  </si>
  <si>
    <t>REQ-20, REQ-21, REQ-22, REQ-25</t>
  </si>
  <si>
    <t>EST-6</t>
  </si>
  <si>
    <t>My orders</t>
  </si>
  <si>
    <t>Buyer identity from existing company login session</t>
  </si>
  <si>
    <t>Validate existing company login session token or cookie on every API request (ASM-5); Read buyer ID from session for order ownership; Expose signed-in buyer ID to the portal for the cart storage key (One sign-in method (the existing company session) and one role (buyer): small. [be-auth backend 10-16 h, small x0.6, external-dependency x1.4, verify hard x1.3, context partial x1.2])</t>
  </si>
  <si>
    <t>REQ-27, REQ-16</t>
  </si>
  <si>
    <t>EST-3</t>
  </si>
  <si>
    <t>GET /api/orders: buyer's orders list with status filter</t>
  </si>
  <si>
    <t>Only the signed-in buyer's orders; Newest first; Fields order number, datePlaced, itemCount (total of quantities), total, status; status query filter; Empty list with 200 when no orders (Ownership scoping plus a status filter, newest first and summed item counts. A filtered list: typical. [be-endpoint backend 3-6 h, verify easy x0.9])</t>
  </si>
  <si>
    <t>REQ-27, REQ-28, REQ-29, REQ-35</t>
  </si>
  <si>
    <t>EST-7</t>
  </si>
  <si>
    <t>GET /api/orders/{orderNumber}: order detail</t>
  </si>
  <si>
    <t>Lines with part number, name, quantity, unit price; Delivery address, delivery option, total, status; 404 for another buyer's order (A read by order number with its lines and an ownership 404. No aggregates or report joins: small. [be-endpoint backend 3-6 h, small x0.6, verify easy x0.9])</t>
  </si>
  <si>
    <t>REQ-27, REQ-30</t>
  </si>
  <si>
    <t>EST-8</t>
  </si>
  <si>
    <t>POST /api/orders/{orderNumber}/cancel: cancel rules</t>
  </si>
  <si>
    <t>Cancel only if status is still Placed: set Cancelled, return 200 with status Cancelled; 409 with error message when no longer Placed, status unchanged; 404 for another buyer's order, status unchanged; Stock unchanged on cancel (4 rules (cancel only while Placed, 409 when not Placed, 404 for another buyer, stock unchanged) and 2 states. 4-8 rules: typical. [be-rules backend 8-14 h, verify easy x0.9])</t>
  </si>
  <si>
    <t>REQ-33, REQ-34, REQ-27, REQ-25</t>
  </si>
  <si>
    <t>EST-9</t>
  </si>
  <si>
    <t>Development Total Efforts (in hours)</t>
  </si>
  <si>
    <t>Other Development Activities</t>
  </si>
  <si>
    <t>None</t>
  </si>
  <si>
    <t>Post Development Activities Total Efforts (in hours)</t>
  </si>
  <si>
    <t>Research Task (if any)</t>
  </si>
  <si>
    <t>No research task in this estimate</t>
  </si>
  <si>
    <t>Research Total Efforts (in hours)</t>
  </si>
  <si>
    <t>Assumptions &amp; Constraints</t>
  </si>
  <si>
    <t>Risks</t>
  </si>
  <si>
    <t>Estimates will increase in case of change in requirement</t>
  </si>
  <si>
    <t>EST-4 GET /api/parts: search, filters, paging, stock state: the estimators disagree, so its range is wide</t>
  </si>
  <si>
    <t>EST-5 GET /api/parts/brands: the estimators disagree, so its range is wide</t>
  </si>
  <si>
    <t>EST-6 POST /api/orders: place order rules: the estimators disagree, so its range is wide</t>
  </si>
  <si>
    <t>EST-8 GET /api/orders/{orderNumber}: order detail: the estimators disagree, so its range is wide</t>
  </si>
  <si>
    <t>EST-9 POST /api/orders/{orderNumber}/cancel: cancel rules: the estimators disagree, so its range is wide</t>
  </si>
  <si>
    <t>Not in scope: no work in this estimate</t>
  </si>
  <si>
    <t>Portal app shell (web)</t>
  </si>
  <si>
    <t>Routes /parts, /cart, /orders; Header with links to the other two screens and live cart count; Company login session wiring and buyer ID; Error page; Responsive layout without horizontal scroll from 360 px; Visible focus and keyboard navigation; Prices formatted as £ with 2 decimals, English only (NFR-6) (One layout, 3 menu items, no roles in the menu, English only, light theme only: small. [ui-shell web 8-14 h, small x0.6, context partial x1.2])</t>
  </si>
  <si>
    <t>REQ-1, REQ-9, REQ-36, REQ-37</t>
  </si>
  <si>
    <t>EST-10</t>
  </si>
  <si>
    <t>Production release of API and portal</t>
  </si>
  <si>
    <t>Production launch delivers no requirement on its own (One target (web hosting) with a checklist: production migrations, then deploy the API and portal. [ops-release web 3-6 h, external-dependency x1.4, verify hard x1.3, context partial x1.2])</t>
  </si>
  <si>
    <t>EST-22</t>
  </si>
  <si>
    <t>Find parts screen (web)</t>
  </si>
  <si>
    <t>Search box with "Type at least 2 characters" hint; Category and brand filters with All; Result rows: image, name, part number, brand, price, stock badge with text; Previous/Next paging, back to page 1 on search or filter change; Add to cart, disabled when out of stock; header count bumps with success message; Go to cart (n) link; States: loading skeleton, empty "No parts match" with Clear search and filters, error with Try again, out of stock, low stock, added; First page displayed within 2 seconds with 5,000 parts (Search plus 2 filters (category, brand) and paging. No bulk actions: typical. [ui-list web 6-10 h, typical])</t>
  </si>
  <si>
    <t>REQ-1, REQ-2, REQ-3, REQ-4, REQ-5, REQ-6, REQ-7, REQ-8, REQ-9, REQ-10, REQ-36, REQ-37, REQ-38</t>
  </si>
  <si>
    <t>EST-12</t>
  </si>
  <si>
    <t>Cart and checkout</t>
  </si>
  <si>
    <t>CartStore in browser local storage per buyer</t>
  </si>
  <si>
    <t>addPart: add line quantity 1 or +1; out-of-stock part not added; capped at stock with "Only n available"; count(): total of all quantities; lines(): name, partNumber, unitPrice, quantity, lineTotal; setQuantity: blank/0 → 1, above 99 → 99, non-whole → nearest; above stock → stock with "Only n available"; removeLine; subtotal() and totals(STANDARD £0.00 / NEXT_DAY £9.99); Persist lines in local storage under buyer ID; refresh(partsClient): current prices only, remove 0-stock lines with "&lt;part name&gt; is now out of stock", on failure error field and null prices/totals; applyStockLimits from 409: lower lines with "Only n available", remove 0-stock lines with message, keep others (One capability (local storage persistence) with error handling for refresh failures and 409 limits. No offline sync: typical. [ui-device web 6-10 h, rules-or-algorithm x1.3, verify easy x0.9])</t>
  </si>
  <si>
    <t>REQ-8, REQ-9, REQ-10, REQ-11, REQ-12, REQ-13, REQ-14, REQ-15, REQ-16, REQ-19, REQ-39, REQ-41, REQ-42, REQ-43</t>
  </si>
  <si>
    <t>EST-11</t>
  </si>
  <si>
    <t>Cart lines with live prices (web)</t>
  </si>
  <si>
    <t>Lines table: part, part no., unit price, editable qty, line total, Remove; Instant recalculation of line and order totals; Quantity correction with "Only n available"; Inline alert "&lt;part name&gt; is now out of stock" when a line is removed; Loading state while current prices are fetched; Price error state: lines without prices, error message, Try again, checkout hidden; Empty state "Your cart is empty" with link to Find parts, checkout hidden (One interactive widget (the editable lines table) with 3 actions (edit quantity, remove, try again): typical. [ui-complex web 14-22 h, complex UI x1.4])</t>
  </si>
  <si>
    <t>REQ-9, REQ-11, REQ-12, REQ-13, REQ-14, REQ-15, REQ-17, REQ-41, REQ-42, REQ-43, REQ-36, REQ-37</t>
  </si>
  <si>
    <t>EST-13</t>
  </si>
  <si>
    <t>Checkout form and place order (web)</t>
  </si>
  <si>
    <t>Delivery address textarea 5–200 characters, empty each time, with labelled error; Delivery option radio Standard £0.00 / Next day £9.99; Order summary: items, subtotal, delivery charge, total; Place order enabled only when valid; disabled while submitting (one request); Success: show order number, empty cart, link to My orders; Network error toast: check My orders before retrying; server error toast: cart and details kept; 409 conflict: apply stock limits to lines with messages (2 form fields (address, delivery option): up to 5 fields, small. The screen's states are covered by its complex ui level. [ui-form web 6-10 h, small x0.6, complex UI x1.4])</t>
  </si>
  <si>
    <t>REQ-18, REQ-19, REQ-20, REQ-21, REQ-22, REQ-23, REQ-24, REQ-39, REQ-40, REQ-36, REQ-37</t>
  </si>
  <si>
    <t>EST-14</t>
  </si>
  <si>
    <t>My orders list (web)</t>
  </si>
  <si>
    <t>Table: order, date placed, items, total, status (text label), newest first; Status filter chips: All statuses, Placed, Packed, Dispatched, Delivered, Cancelled; View order opens panel on the same page; States: loading skeleton, empty "No orders yet" with link to Find parts, filtered empty, error with Try again (A table with 1 filter (status chips). No paging or bulk actions: typical. [ui-list web 6-10 h, complex UI x1.4])</t>
  </si>
  <si>
    <t>REQ-1, REQ-28, REQ-29, REQ-35, REQ-36, REQ-37</t>
  </si>
  <si>
    <t>EST-15</t>
  </si>
  <si>
    <t>Order detail drawer, timeline and cancel (web)</t>
  </si>
  <si>
    <t>Drawer overlay: lines, address, delivery option, total, status; Timeline Placed → Packed → Dispatched → Delivered with current status marked by text; Cancel order button only while Placed; Confirm dialog (Yes, cancel order / Keep order); Success toast and status Cancelled; 409 toast: can no longer be cancelled, panel refreshes (Detail sections (lines, address, timeline) with 1-2 actions (cancel and confirm). No tabs or widgets: typical. [ui-detail web 5-8 h, complex UI x1.4])</t>
  </si>
  <si>
    <t>REQ-1, REQ-30, REQ-31, REQ-32, REQ-33, REQ-34, REQ-37</t>
  </si>
  <si>
    <t>EST-16</t>
  </si>
  <si>
    <t>EST-10 Portal app shell (web): the estimators disagree, so its range is wide</t>
  </si>
  <si>
    <t>EST-12 Find parts screen (web): the estimators disagree, so its range is wide</t>
  </si>
  <si>
    <t>EST-22 Production release of API and portal: the estimators disagree, so its range is wide</t>
  </si>
  <si>
    <t>QA Estimates for Parts Quick Order</t>
  </si>
  <si>
    <t>Grand Total Efforts (in hours)</t>
  </si>
  <si>
    <t>Sum of QA and Misc.</t>
  </si>
  <si>
    <t>Estimation Summary</t>
  </si>
  <si>
    <t>Test Plan/Strategy</t>
  </si>
  <si>
    <t>Test planning, with the test plan, strategy and traceability matrix as outputs. Not sized in this estimate</t>
  </si>
  <si>
    <t>Set up of Test Environments</t>
  </si>
  <si>
    <t>Setting up code and white box test environments. Not sized in this estimate</t>
  </si>
  <si>
    <t>Validation and Smoke test cases</t>
  </si>
  <si>
    <t>Test cases to execute while debugging and white box testing</t>
  </si>
  <si>
    <t>Test cases: Find parts and parts API, including load test</t>
  </si>
  <si>
    <t>API cases AC-2.x to AC-7.x; Load test AC-38.1 (p95 &lt; 500 ms) and AC-38.2 (2 s first page); Manual cases for paging reset, clear button, disabled Add to cart (4 flows: search/filter, paging, add to cart, load test. 2-4 flows: typical. [qa-cases qa 3-6 h, typical])</t>
  </si>
  <si>
    <t>REQ-2, REQ-3, REQ-4, REQ-5, REQ-6, REQ-7, REQ-8, REQ-10, REQ-38</t>
  </si>
  <si>
    <t>EST-17</t>
  </si>
  <si>
    <t>Test cases: Cart, checkout and place order</t>
  </si>
  <si>
    <t>CartStore and CheckoutForm unit cases; Orders API cases for 201, 400, 409, stock unchanged; Manual cases for error, conflict, price failure and success states (4 flows: cart edit, price refresh, place order success, error/conflict paths. 2-4 flows: typical. [qa-cases qa 3-6 h, typical])</t>
  </si>
  <si>
    <t>REQ-11, REQ-12, REQ-13, REQ-14, REQ-15, REQ-16, REQ-17, REQ-18, REQ-19, REQ-20, REQ-21, REQ-22, REQ-23, REQ-24, REQ-25, REQ-39, REQ-40, REQ-41, REQ-42, REQ-43</t>
  </si>
  <si>
    <t>EST-18</t>
  </si>
  <si>
    <t>Test cases: My orders and cancel</t>
  </si>
  <si>
    <t>Ownership 404 cases; List order, filter, detail cases; Cancel success and 409 cases, confirmation decline (3 flows: list/filter, detail with ownership, cancel/409. 2-4 flows: typical. [qa-cases qa 3-6 h, typical])</t>
  </si>
  <si>
    <t>REQ-27, REQ-28, REQ-29, REQ-30, REQ-31, REQ-32, REQ-33, REQ-34, REQ-35</t>
  </si>
  <si>
    <t>EST-19</t>
  </si>
  <si>
    <t>Validation testing</t>
  </si>
  <si>
    <t>Testing cycles; the detail is below</t>
  </si>
  <si>
    <t>Testing Cycle 1</t>
  </si>
  <si>
    <t>Smoke testing</t>
  </si>
  <si>
    <t>Smoke testing after each deployment, including preparation. Not sized in this estimate</t>
  </si>
  <si>
    <t>Multi Browser Compatibility testing</t>
  </si>
  <si>
    <t>Browser, OS and device compatibility</t>
  </si>
  <si>
    <t>Test cases: accessibility, responsive and browsers</t>
  </si>
  <si>
    <t>Automated axe scan per screen, 0 serious or critical (NFR-3); Keyboard-only journey with screen reader labels; 360/768/1280 px widths on latest 2 Chrome, Edge, Safari, Firefox (3 flows (axe scan, keyboard/screen reader, responsive across browsers) for one role: typical. [qa-cases qa 3-6 h, verify hard x1.3])</t>
  </si>
  <si>
    <t>REQ-1, REQ-36, REQ-37</t>
  </si>
  <si>
    <t>EST-20</t>
  </si>
  <si>
    <t>UAT</t>
  </si>
  <si>
    <t>Client user acceptance testing support</t>
  </si>
  <si>
    <t>Client acceptance testing</t>
  </si>
  <si>
    <t>Client UAT delivers no requirement on its own (One client acceptance round: typical. [qa-uat qa 4-8 h, typical])</t>
  </si>
  <si>
    <t>Human</t>
  </si>
  <si>
    <t>EST-24</t>
  </si>
  <si>
    <t>Misc. Optional testing</t>
  </si>
  <si>
    <t>Other testing named in the breakdown, and supervisor gate time. Not sized in this estimate</t>
  </si>
  <si>
    <t>Total QA Efforts</t>
  </si>
  <si>
    <t>Total hours of QA</t>
  </si>
  <si>
    <t>Validation Testing</t>
  </si>
  <si>
    <t>End-to-end test: find, add, check out, view and cancel</t>
  </si>
  <si>
    <t>Search, add to cart, header count, place order, order number, open in My orders, cancel (One chained buyer journey (find, add, check out, view, cancel) on one platform. It counts as one flow rather than 2-3 separate ones, so typical. [qa-e2e qa 6-10 h, typical])</t>
  </si>
  <si>
    <t>REQ-1, REQ-4, REQ-8, REQ-9, REQ-18, REQ-20, REQ-23, REQ-28, REQ-30, REQ-32, REQ-33</t>
  </si>
  <si>
    <t>EST-21</t>
  </si>
  <si>
    <t>Total Testing Cycle 1</t>
  </si>
  <si>
    <t>Sum of testing cycle 1</t>
  </si>
  <si>
    <t>EST-20 Test cases: accessibility, responsive and browsers: the estimators disagree, so its range is wide</t>
  </si>
  <si>
    <t>Design Estimates for Parts Quick Order</t>
  </si>
  <si>
    <t>Client design review and approval</t>
  </si>
  <si>
    <t>Client walkthrough and sign-off of the approved design (A walkthrough of 3 screens with 2 feedback rounds (from settings) and sign-off: typical. [design-approval design 2-4 h, typical])</t>
  </si>
  <si>
    <t>EST-23</t>
  </si>
  <si>
    <t>Other Estimates for Parts Quick Order</t>
  </si>
  <si>
    <t>GD</t>
  </si>
  <si>
    <t>GD TOTAL</t>
  </si>
  <si>
    <t>PM</t>
  </si>
  <si>
    <t>Project management: client liaison</t>
  </si>
  <si>
    <t>Client calls, scope decisions and sign-offs (5 features over 3 screens and one API, roughly a month of agentic delivery: typical. [pm-management pm 4-8 h, typical])</t>
  </si>
  <si>
    <t>EST-25</t>
  </si>
  <si>
    <t>PM TOTAL</t>
  </si>
  <si>
    <t>PDM</t>
  </si>
  <si>
    <t>Handover notes</t>
  </si>
  <si>
    <t>Documentation delivers no requirement on its own (Short handover notes in 2 parts (DB status updates, deploy/config). About a one-page guide: small. [pdm-docs pdm 4-8 h, small x0.6, context partial x1.2])</t>
  </si>
  <si>
    <t>EST-26</t>
  </si>
  <si>
    <t>PDM TOTAL</t>
  </si>
  <si>
    <t>Cross-cutting</t>
  </si>
  <si>
    <t>Cross-cutting TOTAL</t>
  </si>
  <si>
    <t>All tasks: Parts Quick Order</t>
  </si>
  <si>
    <t>Filter or sort any column. The Total row adds up only the rows the filter shows.</t>
  </si>
  <si>
    <t>Track</t>
  </si>
  <si>
    <t>Module</t>
  </si>
  <si>
    <t>Backend</t>
  </si>
  <si>
    <t>Web</t>
  </si>
  <si>
    <t>QA</t>
  </si>
  <si>
    <t>Design</t>
  </si>
  <si>
    <t>Total (rows shown)</t>
  </si>
  <si>
    <t>agentic</t>
  </si>
  <si>
    <t>Uncertainty</t>
  </si>
  <si>
    <t>medium</t>
  </si>
  <si>
    <t>Cost confidence</t>
  </si>
  <si>
    <t>cold-start</t>
  </si>
  <si>
    <t>Benchmark records</t>
  </si>
  <si>
    <t>Flagged tasks (estimators disagree)</t>
  </si>
  <si>
    <t>Spec sha</t>
  </si>
  <si>
    <t>78b80754217423dd7f9683d91dfad757f88541fda28cac9620b2e3c8747d658c</t>
  </si>
  <si>
    <t>Breakdown sha</t>
  </si>
  <si>
    <t>66e21248c856361e3709d84458223f3258eb45aa64857c8e0789d5570b2e6f64</t>
  </si>
  <si>
    <t>Task catalogue</t>
  </si>
  <si>
    <t>2026-10-06.1 (stack dotnet)</t>
  </si>
  <si>
    <t>Catalogue status</t>
  </si>
  <si>
    <t>reference hours, not yet measured</t>
  </si>
  <si>
    <t>API cost by phase</t>
  </si>
  <si>
    <t>Ledger runs</t>
  </si>
  <si>
    <t>Eval runs</t>
  </si>
  <si>
    <t>planning ($0.74-2.86)</t>
  </si>
  <si>
    <t>design ($0.06-7.98)</t>
  </si>
  <si>
    <t>breakdown-estimate ($0.8-0.8)</t>
  </si>
  <si>
    <t>build ($15.44-53)</t>
  </si>
  <si>
    <t>verification ($1.59-4.32)</t>
  </si>
  <si>
    <t>Anchors</t>
  </si>
  <si>
    <t>Title</t>
  </si>
  <si>
    <t>Min (h)</t>
  </si>
  <si>
    <t>Max (h)</t>
  </si>
  <si>
    <t>Why a fair reference</t>
  </si>
  <si>
    <t>Three environments (dev, staging, production) with one CI/CD pipeline. No infrastructure as code is asked for, so it stays at typical rather than large. [ops-setup backend 8-14 h, external-dependency x1.4, verify hard x1.3, context partial x1.2]</t>
  </si>
  <si>
    <t>2 new entities (orders, order_lines), plus a sequence, indexes and seed data. That is within 'up to 3 entities': small. [be-data backend 4-8 h, small x0.6, verify easy x0.9]</t>
  </si>
  <si>
    <t>One sign-in method (the existing company session) and one role (buyer): small. [be-auth backend 10-16 h, small x0.6, external-dependency x1.4, verify hard x1.3, context partial x1.2]</t>
  </si>
  <si>
    <t>Search, 2 filters (category, brand) and paging, with a computed stock state. Only the parts table is queried, so no joins over 3+ tables: typical. [be-endpoint backend 3-6 h, rules-or-algorithm x1.3]</t>
  </si>
  <si>
    <t>11 rules: 5 validation rules, stock re-check, current price, total with delivery charge, status Placed, sequential number, stock left unchanged. 9-15 rules: large. [be-rules backend 8-14 h, large x1.6]</t>
  </si>
  <si>
    <t>One layout, 3 menu items, no roles in the menu, English only, light theme only: small. [ui-shell web 8-14 h, small x0.6, context partial x1.2]</t>
  </si>
  <si>
    <t>One capability (local storage persistence) with error handling for refresh failures and 409 limits. No offline sync: typical. [ui-device web 6-10 h, rules-or-algorithm x1.3, verify easy x0.9]</t>
  </si>
  <si>
    <t>Search plus 2 filters (category, brand) and paging. No bulk actions: typical. [ui-list web 6-10 h, typical]</t>
  </si>
  <si>
    <t>One interactive widget (the editable lines table) with 3 actions (edit quantity, remove, try again): typical. [ui-complex web 14-22 h, complex UI x1.4]</t>
  </si>
  <si>
    <t>2 form fields (address, delivery option): up to 5 fields, small. The screen's states are covered by its complex ui level. [ui-form web 6-10 h, small x0.6, complex UI x1.4]</t>
  </si>
  <si>
    <t>Detail sections (lines, address, timeline) with 1-2 actions (cancel and confirm). No tabs or widgets: typical. [ui-detail web 5-8 h, complex UI x1.4]</t>
  </si>
  <si>
    <t>4 flows: search/filter, paging, add to cart, load test. 2-4 flows: typical. [qa-cases qa 3-6 h, typical]</t>
  </si>
  <si>
    <t>One chained buyer journey (find, add, check out, view, cancel) on one platform. It counts as one flow rather than 2-3 separate ones, so typical. [qa-e2e qa 6-10 h, typical]</t>
  </si>
  <si>
    <t>One target (web hosting) with a checklist: production migrations, then deploy the API and portal. [ops-release web 3-6 h, external-dependency x1.4, verify hard x1.3, context partial x1.2]</t>
  </si>
  <si>
    <t>A walkthrough of 3 screens with 2 feedback rounds (from settings) and sign-off: typical. [design-approval design 2-4 h, typical]</t>
  </si>
  <si>
    <t>One client acceptance round: typical. [qa-uat qa 4-8 h, typical]</t>
  </si>
  <si>
    <t>5 features over 3 screens and one API, roughly a month of agentic delivery: typical. [pm-management pm 4-8 h, typical]</t>
  </si>
  <si>
    <t>Short handover notes in 2 parts (DB status updates, deploy/config). About a one-page guide: small. [pdm-docs pdm 4-8 h, small x0.6, context partial x1.2]</t>
  </si>
  <si>
    <t>Anchor</t>
  </si>
  <si>
    <t>Ratio</t>
  </si>
  <si>
    <t>Reason</t>
  </si>
  <si>
    <t>Flagged</t>
  </si>
  <si>
    <t>joint</t>
  </si>
  <si>
    <t>factory</t>
  </si>
  <si>
    <t>yes</t>
  </si>
  <si>
    <t>One plain distinct read with no filters or paging: small. [be-endpoint backend 3-6 h, small x0.6, verify easy x0.9]</t>
  </si>
  <si>
    <t>Ownership scoping plus a status filter, newest first and summed item counts. A filtered list: typical. [be-endpoint backend 3-6 h, verify easy x0.9]</t>
  </si>
  <si>
    <t>A read by order number with its lines and an ownership 404. No aggregates or report joins: small. [be-endpoint backend 3-6 h, small x0.6, verify easy x0.9]</t>
  </si>
  <si>
    <t>4 rules (cancel only while Placed, 409 when not Placed, 404 for another buyer, stock unchanged) and 2 states. 4-8 rules: typical. [be-rules backend 8-14 h, verify easy x0.9]</t>
  </si>
  <si>
    <t>A table with 1 filter (status chips). No paging or bulk actions: typical. [ui-list web 6-10 h, complex UI x1.4]</t>
  </si>
  <si>
    <t>4 flows: cart edit, price refresh, place order success, error/conflict paths. 2-4 flows: typical. [qa-cases qa 3-6 h, typical]</t>
  </si>
  <si>
    <t>3 flows: list/filter, detail with ownership, cancel/409. 2-4 flows: typical. [qa-cases qa 3-6 h, typical]</t>
  </si>
  <si>
    <t>3 flows (axe scan, keyboard/screen reader, responsive across browsers) for one role: typical. [qa-cases qa 3-6 h, verify hard x1.3]</t>
  </si>
  <si>
    <t>human</t>
  </si>
  <si>
    <t>Requirements and traceability</t>
  </si>
  <si>
    <t>Requirement</t>
  </si>
  <si>
    <t>REQ-1</t>
  </si>
  <si>
    <t>The portal shall provide exactly three screens for the signed-in buyer: Find parts at /parts, Cart and checkout at /cart, and My orders a...</t>
  </si>
  <si>
    <t>EST-10, EST-12, EST-15, EST-16, EST-20, EST-21</t>
  </si>
  <si>
    <t>REQ-10</t>
  </si>
  <si>
    <t>If a part is out of stock, then the portal shall disable its "Add to cart" button.</t>
  </si>
  <si>
    <t>EST-11, EST-12, EST-17</t>
  </si>
  <si>
    <t>REQ-11</t>
  </si>
  <si>
    <t>The cart shall give each line its name, part number, unit price, quantity and line total, where line total = unit price × quantity.</t>
  </si>
  <si>
    <t>EST-11, EST-13, EST-18</t>
  </si>
  <si>
    <t>REQ-12</t>
  </si>
  <si>
    <t>When the buyer changes a line quantity, the cart shall recalculate that line total and the order totals at once.</t>
  </si>
  <si>
    <t>REQ-13</t>
  </si>
  <si>
    <t>If the buyer enters a quantity that is blank, 0, above 99 or not a whole number, then the cart shall set it to the nearest whole number f...</t>
  </si>
  <si>
    <t>REQ-14</t>
  </si>
  <si>
    <t>If the buyer enters a quantity above the part's stock, then the cart shall set the quantity to the stock quantity and give the message "O...</t>
  </si>
  <si>
    <t>REQ-15</t>
  </si>
  <si>
    <t>When the buyer presses "Remove" on a cart line, the cart shall remove that line.</t>
  </si>
  <si>
    <t>REQ-16</t>
  </si>
  <si>
    <t>The cart shall keep its lines in the browser's local storage under the signed-in buyer's ID, so the cart survives page reloads on the sam...</t>
  </si>
  <si>
    <t>EST-3, EST-11, EST-18</t>
  </si>
  <si>
    <t>REQ-17</t>
  </si>
  <si>
    <t>While the cart is empty, the portal shall show "Your cart is empty" with a link to Find parts and hide checkout.</t>
  </si>
  <si>
    <t>EST-13, EST-18</t>
  </si>
  <si>
    <t>REQ-18</t>
  </si>
  <si>
    <t>The checkout shall enable "Place order" only when the delivery address has 5 to 200 characters and a delivery option (Standard or Next da...</t>
  </si>
  <si>
    <t>EST-14, EST-18, EST-21</t>
  </si>
  <si>
    <t>REQ-19</t>
  </si>
  <si>
    <t>The checkout shall show subtotal, delivery charge (Standard £0.00, Next day £9.99) and total, where total = subtotal + delivery charge.</t>
  </si>
  <si>
    <t>EST-11, EST-14, EST-18</t>
  </si>
  <si>
    <t>REQ-2</t>
  </si>
  <si>
    <t>When a buyer requests the parts list, the parts API shall return parts sorted by name A–Z, 20 per page, each with image (or none), name, ...</t>
  </si>
  <si>
    <t>EST-4, EST-12, EST-17</t>
  </si>
  <si>
    <t>REQ-20</t>
  </si>
  <si>
    <t>When the buyer places an order with valid lines, address and delivery option, the orders API shall save an order with status Placed, a se...</t>
  </si>
  <si>
    <t>EST-2, EST-6, EST-14, EST-18, EST-21</t>
  </si>
  <si>
    <t>REQ-21</t>
  </si>
  <si>
    <t>If a place-order request has no lines, a quantity outside 1–99, an unknown part number, an address outside 5–200 characters, or a missing...</t>
  </si>
  <si>
    <t>EST-6, EST-14, EST-18</t>
  </si>
  <si>
    <t>REQ-22</t>
  </si>
  <si>
    <t>If any line's quantity is above the part's stock when an order is placed, then the orders API shall reject the order with status 409 and ...</t>
  </si>
  <si>
    <t>REQ-23</t>
  </si>
  <si>
    <t>When an order is placed successfully, the portal shall empty the cart and show the new order number.</t>
  </si>
  <si>
    <t>REQ-24</t>
  </si>
  <si>
    <t>If placing an order fails with a network error or a server error, then the portal shall show an error message, which for a network error ...</t>
  </si>
  <si>
    <t>EST-14, EST-18</t>
  </si>
  <si>
    <t>REQ-25</t>
  </si>
  <si>
    <t>The orders API shall leave the stock quantity in the parts database unchanged when an order is placed or cancelled.</t>
  </si>
  <si>
    <t>EST-6, EST-9, EST-18</t>
  </si>
  <si>
    <t>REQ-27</t>
  </si>
  <si>
    <t>The orders API shall return to a buyer only the orders placed by that buyer.</t>
  </si>
  <si>
    <t>EST-3, EST-7, EST-8, EST-9, EST-19</t>
  </si>
  <si>
    <t>REQ-28</t>
  </si>
  <si>
    <t>When a buyer requests their orders, the orders API shall return them newest first, each with order number, date placed, number of items (...</t>
  </si>
  <si>
    <t>EST-2, EST-7, EST-15, EST-19, EST-21</t>
  </si>
  <si>
    <t>REQ-29</t>
  </si>
  <si>
    <t>When the buyer picks a status filter on My orders, the orders API shall return only that buyer's orders with that status.</t>
  </si>
  <si>
    <t>EST-7, EST-15, EST-19</t>
  </si>
  <si>
    <t>REQ-3</t>
  </si>
  <si>
    <t>The parts API shall set a part's stock state to "In stock" when stock is 5 or more, "Low stock (n left)" when stock is 1 to 4, and "Out o...</t>
  </si>
  <si>
    <t>REQ-30</t>
  </si>
  <si>
    <t>When a buyer opens one of their orders, the orders API shall return its lines (part number, name, quantity, unit price), delivery address...</t>
  </si>
  <si>
    <t>EST-2, EST-8, EST-16, EST-19, EST-21</t>
  </si>
  <si>
    <t>REQ-31</t>
  </si>
  <si>
    <t>When the buyer opens an order, the portal shall show a status timeline Placed → Packed → Dispatched → Delivered with the current status m...</t>
  </si>
  <si>
    <t>EST-16, EST-19</t>
  </si>
  <si>
    <t>REQ-32</t>
  </si>
  <si>
    <t>While an order's status is Placed, the portal shall show a "Cancel order" button in the order detail that asks for confirmation before ca...</t>
  </si>
  <si>
    <t>EST-16, EST-19, EST-21</t>
  </si>
  <si>
    <t>REQ-33</t>
  </si>
  <si>
    <t>When a buyer cancels their order whose status is still Placed, the orders API shall set the status to Cancelled.</t>
  </si>
  <si>
    <t>EST-9, EST-16, EST-19, EST-21</t>
  </si>
  <si>
    <t>REQ-34</t>
  </si>
  <si>
    <t>If the order's status is no longer Placed when the buyer confirms cancelling, then the orders API shall refuse with status 409 and leave ...</t>
  </si>
  <si>
    <t>EST-9, EST-16, EST-19</t>
  </si>
  <si>
    <t>REQ-35</t>
  </si>
  <si>
    <t>While the buyer has no orders, the portal shall show "No orders yet" and a link to Find parts on My orders.</t>
  </si>
  <si>
    <t>REQ-36</t>
  </si>
  <si>
    <t>The portal shall show all three screens without horizontal scrolling at viewport widths from 360 px upwards.</t>
  </si>
  <si>
    <t>EST-10, EST-12, EST-13, EST-14, EST-15, EST-20</t>
  </si>
  <si>
    <t>REQ-37</t>
  </si>
  <si>
    <t>The portal shall give every form field a visible text label and let the buyer reach and use every control by keyboard alone.</t>
  </si>
  <si>
    <t>EST-10, EST-12, EST-13, EST-14, EST-15, EST-16, EST-20</t>
  </si>
  <si>
    <t>REQ-38</t>
  </si>
  <si>
    <t>While the parts database holds 5,000 parts, the Find parts screen shall load its first page of results in under 2 seconds.</t>
  </si>
  <si>
    <t>EST-2, EST-4, EST-12, EST-17</t>
  </si>
  <si>
    <t>REQ-39</t>
  </si>
  <si>
    <t>When the orders API rejects an order with a 409 stock conflict, the cart shall lower each affected line to the stock now available with t...</t>
  </si>
  <si>
    <t>REQ-4</t>
  </si>
  <si>
    <t>When the search text has at least 2 characters, the parts API shall return only parts whose name or part number contains that text, ignor...</t>
  </si>
  <si>
    <t>EST-4, EST-12, EST-17, EST-21</t>
  </si>
  <si>
    <t>REQ-40</t>
  </si>
  <si>
    <t>While a place-order request is in progress, the checkout shall disable "Place order".</t>
  </si>
  <si>
    <t>REQ-41</t>
  </si>
  <si>
    <t>When the buyer opens the cart, the cart shall fetch the current price of each line's part from the parts API and use only those current p...</t>
  </si>
  <si>
    <t>REQ-42</t>
  </si>
  <si>
    <t>If the current part data fetched when the cart opens shows a cart line's part has 0 stock, then the cart shall remove that line and give ...</t>
  </si>
  <si>
    <t>REQ-43</t>
  </si>
  <si>
    <t>If the request to the parts API for current prices fails with a network or server error when the cart opens, then the cart shall show the...</t>
  </si>
  <si>
    <t>When the buyer picks a category or brand filter, the parts API shall return only parts matching that one category and that one brand, com...</t>
  </si>
  <si>
    <t>EST-4, EST-5, EST-12, EST-17</t>
  </si>
  <si>
    <t>REQ-6</t>
  </si>
  <si>
    <t>When the search text or a filter changes on Find parts, the portal shall show page 1 of the results.</t>
  </si>
  <si>
    <t>EST-12, EST-17</t>
  </si>
  <si>
    <t>REQ-7</t>
  </si>
  <si>
    <t>When no part matches the search and filters, the portal shall show "No parts match" and a button that clears the search and filters.</t>
  </si>
  <si>
    <t>REQ-8</t>
  </si>
  <si>
    <t>When the buyer presses "Add to cart" on a part that is in stock, the cart shall add a line with quantity 1, or raise the existing line's ...</t>
  </si>
  <si>
    <t>EST-11, EST-12, EST-17, EST-21</t>
  </si>
  <si>
    <t>REQ-9</t>
  </si>
  <si>
    <t>The portal shall show in the header a cart count equal to the total of all quantities in the cart, updated whenever the cart changes.</t>
  </si>
  <si>
    <t>EST-10, EST-11, EST-12, EST-13, EST-21</t>
  </si>
  <si>
    <t>Tasks with no requirement (named overheads)</t>
  </si>
  <si>
    <t>Environment setup delivers no requirement on its own</t>
  </si>
  <si>
    <t>Production launch delivers no requirement on its own</t>
  </si>
  <si>
    <t>Client walkthrough and sign-off of the approved design</t>
  </si>
  <si>
    <t>Client UAT delivers no requirement on its own</t>
  </si>
  <si>
    <t>Client calls, scope decisions and sign-offs</t>
  </si>
  <si>
    <t>Documentation delivers no requirement on its own</t>
  </si>
  <si>
    <t>Assumed parameters and gate time (all editable, all assumed)</t>
  </si>
  <si>
    <t>Parameter</t>
  </si>
  <si>
    <t>Min</t>
  </si>
  <si>
    <t>Max</t>
  </si>
  <si>
    <t>Clarify minutes per question</t>
  </si>
  <si>
    <t>Approval minutes per section</t>
  </si>
  <si>
    <t>PR review minutes, low risk</t>
  </si>
  <si>
    <t>PR review minutes, medium risk</t>
  </si>
  <si>
    <t>PR review minutes, high risk</t>
  </si>
  <si>
    <t>Parked-run rate</t>
  </si>
  <si>
    <t>Parked-run intervention minutes</t>
  </si>
  <si>
    <t>Waiver minutes</t>
  </si>
  <si>
    <t>Cold-start dollars per task</t>
  </si>
  <si>
    <t>Estimator tolerance</t>
  </si>
  <si>
    <t>Tasks per PR</t>
  </si>
  <si>
    <t>Hours per day</t>
  </si>
  <si>
    <t>Agentic build factor</t>
  </si>
  <si>
    <t>Gate hours in this estimate</t>
  </si>
  <si>
    <t>None: the solely agentic model has no supervisor gates</t>
  </si>
  <si>
    <t>No rates were given, so there is no cost overlay.</t>
  </si>
  <si>
    <t>Estimate gates and waivers</t>
  </si>
  <si>
    <t>Gate</t>
  </si>
  <si>
    <t>Result</t>
  </si>
  <si>
    <t>Details</t>
  </si>
  <si>
    <t>estimate.e1-readiness</t>
  </si>
  <si>
    <t>passed</t>
  </si>
  <si>
    <t>42 requirements, lint, critic and round trip clean (8 problems settled by questions), no open questions</t>
  </si>
  <si>
    <t>estimate.e2-req-to-task</t>
  </si>
  <si>
    <t>all 42 requirements have a task</t>
  </si>
  <si>
    <t>estimate.e3-task-to-req</t>
  </si>
  <si>
    <t>every task cites a requirement or a named overhead</t>
  </si>
  <si>
    <t>estimate.e2c-task-kind</t>
  </si>
  <si>
    <t>every task has a catalogue kind that fits its track (catalogue 2026-10-06.1)</t>
  </si>
  <si>
    <t>estimate.e4-checklist</t>
  </si>
  <si>
    <t>14 checklist items each in, or out with a reason</t>
  </si>
  <si>
    <t>estimate.e1c-design-coverage</t>
  </si>
  <si>
    <t>all 3 approved screens are built by a task, and every task screen is approved</t>
  </si>
  <si>
    <t>estimate.e5-consistency</t>
  </si>
  <si>
    <t>similar tasks are within tolerance</t>
  </si>
  <si>
    <t>estimate.e6-lint</t>
  </si>
  <si>
    <t>totals, ratios and costs recompute cleanly</t>
  </si>
  <si>
    <t>estimate.e7-approval</t>
  </si>
  <si>
    <t>approved by mhamza</t>
  </si>
  <si>
    <t>Waivers</t>
  </si>
  <si>
    <t>Gates</t>
  </si>
  <si>
    <t>Step</t>
  </si>
  <si>
    <t>Waived by and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</si>
</sst>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8" x14ac:knownFonts="1">
    <font>
      <color theme="1"/>
      <family val="2"/>
      <scheme val="minor"/>
      <sz val="11"/>
      <name val="Calibri"/>
    </font>
    <font>
      <color rgb="FF595959"/>
      <sz val="11"/>
      <name val="Calibri"/>
    </font>
    <font>
      <b/>
      <color theme="0"/>
      <sz val="16"/>
      <name val="Calibri"/>
    </font>
    <font>
      <b/>
      <color theme="1"/>
      <sz val="11"/>
      <name val="Calibri"/>
    </font>
    <font>
      <color rgb="FF000000"/>
      <sz val="11"/>
      <name val="Calibri"/>
    </font>
    <font>
      <i/>
      <color rgb="FF7F7F7F"/>
      <sz val="11"/>
      <name val="Calibri"/>
    </font>
    <font>
      <b/>
      <color theme="0"/>
      <sz val="11"/>
      <name val="Calibri"/>
    </font>
    <font>
      <color theme="1"/>
      <scheme val="minor"/>
      <name val="Arial"/>
    </font>
    <font>
      <color theme="1"/>
      <sz val="11"/>
      <name val="Calibri"/>
    </font>
    <font>
      <i/>
      <color theme="1"/>
      <sz val="11"/>
      <name val="Calibri"/>
    </font>
    <font>
      <b/>
    </font>
    <font>
      <color rgb="FFFFFFFF"/>
      <sz val="18"/>
      <name val="Calibri"/>
    </font>
    <font>
      <color rgb="FF000000"/>
      <sz val="14"/>
      <name val="Calibri"/>
    </font>
    <font>
      <b/>
      <color theme="1"/>
      <sz val="14"/>
      <name val="Calibri"/>
    </font>
    <font>
      <b/>
      <color rgb="FFFFFFFF"/>
      <sz val="11"/>
      <name val="Calibri"/>
    </font>
    <font>
      <b/>
      <color rgb="FF3F3F3F"/>
      <sz val="11"/>
      <name val="Calibri"/>
    </font>
    <font>
      <i/>
    </font>
    <font>
      <b/>
      <sz val="14"/>
    </font>
  </fonts>
  <fills count="5">
    <fill>
      <patternFill patternType="none"/>
    </fill>
    <fill>
      <patternFill patternType="gray125"/>
    </fill>
    <fill>
      <patternFill patternType="solid">
        <fgColor rgb="FF7F7F7F"/>
        <bgColor rgb="FF7F7F7F"/>
      </patternFill>
    </fill>
    <fill>
      <patternFill patternType="solid">
        <fgColor rgb="FFF2F2F2"/>
        <bgColor rgb="FFF2F2F2"/>
      </patternFill>
    </fill>
    <fill>
      <patternFill patternType="solid">
        <fgColor rgb="FFD9E1F2"/>
      </patternFill>
    </fill>
  </fills>
  <borders count="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applyAlignment="1">
      <alignment horizontal="left"/>
    </xf>
    <xf numFmtId="0" fontId="5" fillId="0" borderId="1" xfId="0" applyFont="1" applyBorder="1" applyAlignment="1">
      <alignment horizontal="center"/>
    </xf>
    <xf numFmtId="0" fontId="6" fillId="2" borderId="2" xfId="0" applyFont="1" applyFill="1" applyBorder="1" applyAlignment="1">
      <alignment horizontal="center"/>
    </xf>
    <xf numFmtId="0" fontId="6" fillId="2" borderId="2" xfId="0" applyFont="1" applyFill="1" applyBorder="1"/>
    <xf numFmtId="0" fontId="7" fillId="0" borderId="0" xfId="0" applyFont="1" applyAlignment="1">
      <alignment readingOrder="1"/>
    </xf>
    <xf numFmtId="0" fontId="8" fillId="0" borderId="2" xfId="0" applyFont="1" applyBorder="1" applyAlignment="1">
      <alignment readingOrder="1"/>
    </xf>
    <xf numFmtId="2" fontId="4" fillId="0" borderId="2" xfId="0" applyNumberFormat="1" applyFont="1" applyBorder="1"/>
    <xf numFmtId="0" fontId="8" fillId="0" borderId="2" xfId="0" applyFont="1" applyBorder="1"/>
    <xf numFmtId="2" fontId="8" fillId="0" borderId="0" xfId="0" applyNumberFormat="1" applyFont="1"/>
    <xf numFmtId="2" fontId="8" fillId="0" borderId="0" xfId="0" applyNumberFormat="1" applyFont="1" applyAlignment="1">
      <alignment readingOrder="1"/>
    </xf>
    <xf numFmtId="2" fontId="8" fillId="0" borderId="2" xfId="0" applyNumberFormat="1" applyFont="1" applyBorder="1"/>
    <xf numFmtId="0" fontId="9" fillId="0" borderId="2" xfId="0" applyFont="1" applyBorder="1" applyAlignment="1">
      <alignment horizontal="left"/>
    </xf>
    <xf numFmtId="2" fontId="0" fillId="0" borderId="0" xfId="0" applyNumberFormat="1"/>
    <xf numFmtId="2" fontId="10" fillId="0" borderId="0" xfId="0" applyNumberFormat="1" applyFont="1"/>
    <xf numFmtId="0" fontId="11" fillId="2" borderId="0" xfId="0" applyFont="1" applyFill="1" applyAlignment="1">
      <alignment horizontal="center" vertical="center"/>
    </xf>
    <xf numFmtId="164" fontId="12" fillId="0" borderId="0" xfId="0" applyNumberFormat="1" applyFont="1" applyAlignment="1">
      <alignment horizontal="center" vertical="center" readingOrder="1"/>
    </xf>
    <xf numFmtId="0" fontId="12" fillId="0" borderId="0" xfId="0" applyFont="1" applyAlignment="1">
      <alignment horizontal="center" vertical="center" readingOrder="1"/>
    </xf>
    <xf numFmtId="0" fontId="13" fillId="0" borderId="0" xfId="0" applyFont="1" applyAlignment="1">
      <alignment horizontal="right" vertical="center"/>
    </xf>
    <xf numFmtId="2" fontId="13" fillId="0" borderId="0" xfId="0" applyNumberFormat="1" applyFont="1" applyAlignment="1">
      <alignment vertical="center"/>
    </xf>
    <xf numFmtId="0" fontId="8" fillId="0" borderId="0" xfId="0" applyFont="1" applyAlignment="1">
      <alignment vertical="center"/>
    </xf>
    <xf numFmtId="0" fontId="6" fillId="2" borderId="2" xfId="0" applyFont="1" applyFill="1" applyBorder="1" applyAlignment="1">
      <alignment vertical="center"/>
    </xf>
    <xf numFmtId="0" fontId="14" fillId="2" borderId="2" xfId="0" applyFont="1" applyFill="1" applyBorder="1" applyAlignment="1">
      <alignment horizontal="center" vertical="center"/>
    </xf>
    <xf numFmtId="0" fontId="6" fillId="2" borderId="2" xfId="0" applyFont="1" applyFill="1" applyBorder="1" applyAlignment="1">
      <alignment vertical="center" wrapText="1"/>
    </xf>
    <xf numFmtId="0" fontId="15" fillId="3" borderId="2" xfId="0" applyFont="1" applyFill="1" applyBorder="1" applyAlignment="1">
      <alignment horizontal="right"/>
    </xf>
    <xf numFmtId="0" fontId="15" fillId="3" borderId="2" xfId="0" applyFont="1" applyFill="1" applyBorder="1" applyAlignment="1">
      <alignment readingOrder="1"/>
    </xf>
    <xf numFmtId="2" fontId="15" fillId="3" borderId="2" xfId="0" applyNumberFormat="1" applyFont="1" applyFill="1" applyBorder="1" applyAlignment="1">
      <alignment horizontal="right"/>
    </xf>
    <xf numFmtId="0" fontId="8" fillId="3" borderId="2" xfId="0" applyFont="1" applyFill="1" applyBorder="1"/>
    <xf numFmtId="0" fontId="4" fillId="0" borderId="2" xfId="0" applyFont="1" applyBorder="1" applyAlignment="1">
      <alignment readingOrder="1"/>
    </xf>
    <xf numFmtId="2" fontId="4" fillId="0" borderId="2" xfId="0" applyNumberFormat="1" applyFont="1" applyBorder="1" applyAlignment="1">
      <alignment horizontal="right" readingOrder="1"/>
    </xf>
    <xf numFmtId="0" fontId="15" fillId="3" borderId="2" xfId="0" applyFont="1" applyFill="1" applyBorder="1" applyAlignment="1">
      <alignment horizontal="right" vertical="center"/>
    </xf>
    <xf numFmtId="2" fontId="15" fillId="3" borderId="2" xfId="0" applyNumberFormat="1" applyFont="1" applyFill="1" applyBorder="1" applyAlignment="1">
      <alignment vertical="center"/>
    </xf>
    <xf numFmtId="0" fontId="15" fillId="3" borderId="2" xfId="0" applyFont="1" applyFill="1" applyBorder="1" applyAlignment="1">
      <alignment vertical="center"/>
    </xf>
    <xf numFmtId="0" fontId="16" fillId="0" borderId="0" xfId="0" applyFont="1"/>
    <xf numFmtId="0" fontId="17" fillId="0" borderId="0" xfId="0" applyFont="1"/>
    <xf numFmtId="0" fontId="10" fillId="4" borderId="0" xfId="0" applyFont="1" applyFill="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02"/>
  <sheetFormatPr defaultRowHeight="15" outlineLevelRow="0" outlineLevelCol="0" x14ac:dyDescent="55"/>
  <cols>
    <col min="1" max="1" width="7.75" customWidth="1"/>
    <col min="2" max="2" width="33.13" customWidth="1"/>
    <col min="3" max="3" width="9.88" customWidth="1"/>
    <col min="4" max="4" width="10.63" customWidth="1"/>
    <col min="5" max="5" width="42.38" customWidth="1"/>
    <col min="6" max="7" width="14" customWidth="1"/>
    <col min="8" max="10" width="12" customWidth="1"/>
  </cols>
  <sheetData>
    <row r="1" spans="2:2" x14ac:dyDescent="0.25">
      <c r="B1" s="1" t="s">
        <v>0</v>
      </c>
    </row>
    <row r="2" spans="2:5" x14ac:dyDescent="0.25">
      <c r="B2" s="2" t="s">
        <v>1</v>
      </c>
      <c r="C2" s="2"/>
      <c r="D2" s="2"/>
      <c r="E2" s="2"/>
    </row>
    <row r="3" spans="2:5" x14ac:dyDescent="0.25">
      <c r="B3" s="2" t="s">
        <v>2</v>
      </c>
      <c r="C3" s="2"/>
      <c r="D3" s="2"/>
      <c r="E3" s="2"/>
    </row>
    <row r="5" spans="2:3" x14ac:dyDescent="0.25">
      <c r="B5" s="3" t="s">
        <v>3</v>
      </c>
      <c r="C5" s="4" t="s">
        <v>4</v>
      </c>
    </row>
    <row r="6" spans="2:3" x14ac:dyDescent="0.25">
      <c r="B6" s="3" t="s">
        <v>5</v>
      </c>
      <c r="C6" s="4" t="s">
        <v>6</v>
      </c>
    </row>
    <row r="7" spans="2:3" x14ac:dyDescent="0.25">
      <c r="B7" s="3" t="s">
        <v>7</v>
      </c>
      <c r="C7" s="4" t="s">
        <v>8</v>
      </c>
    </row>
    <row r="8" spans="2:3" x14ac:dyDescent="0.25">
      <c r="B8" s="3" t="s">
        <v>9</v>
      </c>
      <c r="C8" s="4" t="s">
        <v>10</v>
      </c>
    </row>
    <row r="9" spans="3:7" x14ac:dyDescent="0.25">
      <c r="C9" s="5" t="s">
        <v>11</v>
      </c>
      <c r="D9" s="5"/>
      <c r="F9" s="5" t="s">
        <v>12</v>
      </c>
      <c r="G9" s="5"/>
    </row>
    <row r="10" spans="2:10" x14ac:dyDescent="0.25">
      <c r="B10" s="6" t="s">
        <v>13</v>
      </c>
      <c r="C10" s="7" t="s">
        <v>14</v>
      </c>
      <c r="D10" s="7" t="s">
        <v>15</v>
      </c>
      <c r="E10" s="7" t="s">
        <v>16</v>
      </c>
      <c r="F10" s="7" t="s">
        <v>17</v>
      </c>
      <c r="G10" s="7" t="s">
        <v>18</v>
      </c>
      <c r="H10" s="8" t="s">
        <v>19</v>
      </c>
      <c r="I10" s="8" t="s">
        <v>20</v>
      </c>
      <c r="J10" s="8" t="s">
        <v>21</v>
      </c>
    </row>
    <row r="11" spans="2:10" x14ac:dyDescent="0.25">
      <c r="B11" s="9" t="s">
        <v>22</v>
      </c>
      <c r="C11" s="10">
        <f>'Dev Backend Estimates'!D6</f>
        <v>30.57</v>
      </c>
      <c r="D11" s="10">
        <f>'Dev Backend Estimates'!E6</f>
        <v>51.55</v>
      </c>
      <c r="E11" s="11" t="s">
        <v>23</v>
      </c>
      <c r="F11" s="10">
        <f>'Dev Backend Estimates'!J6</f>
        <v>62.58</v>
      </c>
      <c r="G11" s="10">
        <f>'Dev Backend Estimates'!K6</f>
        <v>110.56</v>
      </c>
      <c r="H11" s="12">
        <f>ROUND((C11+D11)/2,2)</f>
        <v>41.06</v>
      </c>
      <c r="I11" s="13">
        <v>1</v>
      </c>
      <c r="J11" s="12">
        <f>ROUND(H11/($C$48*I11),2)</f>
        <v>1.03</v>
      </c>
    </row>
    <row r="12" spans="2:10" x14ac:dyDescent="0.25">
      <c r="B12" s="9" t="s">
        <v>24</v>
      </c>
      <c r="C12" s="10">
        <f>'Dev Mobile Estimates'!D6</f>
        <v>0</v>
      </c>
      <c r="D12" s="10">
        <f>'Dev Mobile Estimates'!E6</f>
        <v>0</v>
      </c>
      <c r="E12" s="11" t="s">
        <v>25</v>
      </c>
      <c r="F12" s="10">
        <f>'Dev Mobile Estimates'!J6</f>
        <v>0</v>
      </c>
      <c r="G12" s="10">
        <f>'Dev Mobile Estimates'!K6</f>
        <v>0</v>
      </c>
      <c r="H12" s="12">
        <f>ROUND((C12+D12)/2,2)</f>
        <v>0</v>
      </c>
      <c r="I12" s="13">
        <v>1</v>
      </c>
      <c r="J12" s="12">
        <f>ROUND(H12/($C$48*I12),2)</f>
        <v>0</v>
      </c>
    </row>
    <row r="13" spans="2:10" x14ac:dyDescent="0.25">
      <c r="B13" s="9" t="s">
        <v>26</v>
      </c>
      <c r="C13" s="10">
        <f>'Dev Web Estimates'!D6</f>
        <v>6.55</v>
      </c>
      <c r="D13" s="10">
        <f>'Dev Web Estimates'!E6</f>
        <v>13.1</v>
      </c>
      <c r="E13" s="11" t="s">
        <v>27</v>
      </c>
      <c r="F13" s="10">
        <f>'Dev Web Estimates'!J6</f>
        <v>65.37</v>
      </c>
      <c r="G13" s="10">
        <f>'Dev Web Estimates'!K6</f>
        <v>109.28</v>
      </c>
      <c r="H13" s="12">
        <f>ROUND((C13+D13)/2,2)</f>
        <v>9.82</v>
      </c>
      <c r="I13" s="13">
        <v>1</v>
      </c>
      <c r="J13" s="12">
        <f>ROUND(H13/($C$48*I13),2)</f>
        <v>0.25</v>
      </c>
    </row>
    <row r="14" spans="2:10" x14ac:dyDescent="0.25">
      <c r="B14" s="9" t="s">
        <v>28</v>
      </c>
      <c r="C14" s="10">
        <f>'QA Estimates'!D6</f>
        <v>4</v>
      </c>
      <c r="D14" s="10">
        <f>'QA Estimates'!E6</f>
        <v>8</v>
      </c>
      <c r="E14" s="11" t="s">
        <v>29</v>
      </c>
      <c r="F14" s="10">
        <f>'QA Estimates'!J6</f>
        <v>18.9</v>
      </c>
      <c r="G14" s="10">
        <f>'QA Estimates'!K6</f>
        <v>35.8</v>
      </c>
      <c r="H14" s="12">
        <f>ROUND((C14+D14)/2,2)</f>
        <v>6</v>
      </c>
      <c r="I14" s="13">
        <v>1</v>
      </c>
      <c r="J14" s="12">
        <f>ROUND(H14/($C$48*I14),2)</f>
        <v>0.15</v>
      </c>
    </row>
    <row r="15" spans="2:10" x14ac:dyDescent="0.25">
      <c r="B15" s="9" t="s">
        <v>30</v>
      </c>
      <c r="C15" s="10">
        <f>'Other Estimates'!D10</f>
        <v>0</v>
      </c>
      <c r="D15" s="10">
        <f>'Other Estimates'!E10</f>
        <v>0</v>
      </c>
      <c r="E15" s="11" t="s">
        <v>31</v>
      </c>
      <c r="F15" s="10">
        <f>'Other Estimates'!J10</f>
        <v>0</v>
      </c>
      <c r="G15" s="10">
        <f>'Other Estimates'!K10</f>
        <v>0</v>
      </c>
      <c r="H15" s="12">
        <f>ROUND((C15+D15)/2,2)</f>
        <v>0</v>
      </c>
      <c r="I15" s="13">
        <v>1</v>
      </c>
      <c r="J15" s="12">
        <f>ROUND(H15/($C$48*I15),2)</f>
        <v>0</v>
      </c>
    </row>
    <row r="16" spans="2:10" x14ac:dyDescent="0.25">
      <c r="B16" s="9" t="s">
        <v>32</v>
      </c>
      <c r="C16" s="10">
        <f>'Other Estimates'!D16</f>
        <v>4</v>
      </c>
      <c r="D16" s="10">
        <f>'Other Estimates'!E16</f>
        <v>8</v>
      </c>
      <c r="E16" s="11" t="s">
        <v>31</v>
      </c>
      <c r="F16" s="10">
        <f>'Other Estimates'!J16</f>
        <v>0</v>
      </c>
      <c r="G16" s="10">
        <f>'Other Estimates'!K16</f>
        <v>0</v>
      </c>
      <c r="H16" s="12">
        <f>ROUND((C16+D16)/2,2)</f>
        <v>6</v>
      </c>
      <c r="I16" s="13">
        <v>1</v>
      </c>
      <c r="J16" s="12">
        <f>ROUND(H16/($C$48*I16),2)</f>
        <v>0.15</v>
      </c>
    </row>
    <row r="17" spans="2:10" x14ac:dyDescent="0.25">
      <c r="B17" s="9" t="s">
        <v>33</v>
      </c>
      <c r="C17" s="10">
        <f>'Other Estimates'!D22</f>
        <v>0</v>
      </c>
      <c r="D17" s="10">
        <f>'Other Estimates'!E22</f>
        <v>0</v>
      </c>
      <c r="E17" s="11" t="s">
        <v>31</v>
      </c>
      <c r="F17" s="10">
        <f>'Other Estimates'!J22</f>
        <v>2.88</v>
      </c>
      <c r="G17" s="10">
        <f>'Other Estimates'!K22</f>
        <v>5.76</v>
      </c>
      <c r="H17" s="12">
        <f>ROUND((C17+D17)/2,2)</f>
        <v>0</v>
      </c>
      <c r="I17" s="13">
        <v>1</v>
      </c>
      <c r="J17" s="12">
        <f>ROUND(H17/($C$48*I17),2)</f>
        <v>0</v>
      </c>
    </row>
    <row r="18" spans="2:10" x14ac:dyDescent="0.25">
      <c r="B18" s="9" t="s">
        <v>34</v>
      </c>
      <c r="C18" s="10">
        <f>'Other Estimates'!D28</f>
        <v>0</v>
      </c>
      <c r="D18" s="10">
        <f>'Other Estimates'!E28</f>
        <v>0</v>
      </c>
      <c r="E18" s="11" t="s">
        <v>35</v>
      </c>
      <c r="F18" s="10">
        <f>'Other Estimates'!J28</f>
        <v>0</v>
      </c>
      <c r="G18" s="10">
        <f>'Other Estimates'!K28</f>
        <v>0</v>
      </c>
      <c r="H18" s="12">
        <f>ROUND((C18+D18)/2,2)</f>
        <v>0</v>
      </c>
      <c r="I18" s="13">
        <v>1</v>
      </c>
      <c r="J18" s="12">
        <f>ROUND(H18/($C$48*I18),2)</f>
        <v>0</v>
      </c>
    </row>
    <row r="19" spans="2:10" x14ac:dyDescent="0.25">
      <c r="B19" s="9" t="s">
        <v>36</v>
      </c>
      <c r="C19" s="10">
        <f>'Design Estimates'!D6</f>
        <v>2</v>
      </c>
      <c r="D19" s="10">
        <f>'Design Estimates'!E6</f>
        <v>4</v>
      </c>
      <c r="E19" s="11" t="s">
        <v>37</v>
      </c>
      <c r="F19" s="10">
        <f>'Design Estimates'!J6</f>
        <v>0</v>
      </c>
      <c r="G19" s="10">
        <f>'Design Estimates'!K6</f>
        <v>0</v>
      </c>
      <c r="H19" s="12">
        <f>ROUND((C19+D19)/2,2)</f>
        <v>3</v>
      </c>
      <c r="I19" s="13">
        <v>1</v>
      </c>
      <c r="J19" s="12">
        <f>ROUND(H19/($C$48*I19),2)</f>
        <v>0.08</v>
      </c>
    </row>
    <row r="20" spans="2:8" x14ac:dyDescent="0.25">
      <c r="B20" s="11" t="s">
        <v>38</v>
      </c>
      <c r="C20" s="14">
        <f>SUM(C11:C18)+IF($C$47="Yes",C19,0)</f>
        <v>47.12</v>
      </c>
      <c r="D20" s="14">
        <f>SUM(D11:D18)+IF($C$47="Yes",D19,0)</f>
        <v>84.65</v>
      </c>
      <c r="F20" s="14">
        <f>SUM(F11:F18)+IF($C$47="Yes",F19,0)</f>
        <v>149.73</v>
      </c>
      <c r="G20" s="14">
        <f>SUM(G11:G18)+IF($C$47="Yes",G19,0)</f>
        <v>261.4</v>
      </c>
      <c r="H20" s="14">
        <f>ROUND((C20+D20)/2,2)</f>
        <v>65.89</v>
      </c>
    </row>
    <row r="23" spans="2:2" x14ac:dyDescent="0.25">
      <c r="B23" s="3" t="s">
        <v>39</v>
      </c>
    </row>
    <row r="24" spans="2:5" x14ac:dyDescent="0.25">
      <c r="B24" s="6" t="s">
        <v>40</v>
      </c>
      <c r="C24" s="6" t="s">
        <v>41</v>
      </c>
      <c r="D24" s="6" t="s">
        <v>42</v>
      </c>
      <c r="E24" s="6" t="s">
        <v>16</v>
      </c>
    </row>
    <row r="25" spans="2:5" x14ac:dyDescent="0.25">
      <c r="B25" s="11" t="s">
        <v>43</v>
      </c>
      <c r="C25" s="15" t="s">
        <v>44</v>
      </c>
      <c r="E25" s="11" t="s">
        <v>45</v>
      </c>
    </row>
    <row r="26" spans="2:5" x14ac:dyDescent="0.25">
      <c r="B26" s="11" t="s">
        <v>46</v>
      </c>
      <c r="C26" s="15" t="s">
        <v>47</v>
      </c>
      <c r="E26" s="11" t="s">
        <v>48</v>
      </c>
    </row>
    <row r="27" spans="2:5" x14ac:dyDescent="0.25">
      <c r="B27" s="11" t="s">
        <v>49</v>
      </c>
      <c r="C27" s="15" t="s">
        <v>50</v>
      </c>
      <c r="E27" s="11" t="s">
        <v>51</v>
      </c>
    </row>
    <row r="28" spans="2:5" x14ac:dyDescent="0.25">
      <c r="B28" s="11" t="s">
        <v>52</v>
      </c>
      <c r="C28" s="15" t="s">
        <v>47</v>
      </c>
      <c r="E28" s="11" t="s">
        <v>48</v>
      </c>
    </row>
    <row r="29" spans="2:5" x14ac:dyDescent="0.25">
      <c r="B29" s="11" t="s">
        <v>53</v>
      </c>
      <c r="C29" s="15" t="s">
        <v>54</v>
      </c>
      <c r="E29" s="11" t="s">
        <v>55</v>
      </c>
    </row>
    <row r="30" spans="2:5" x14ac:dyDescent="0.25">
      <c r="B30" s="11" t="s">
        <v>56</v>
      </c>
      <c r="C30" s="15" t="s">
        <v>47</v>
      </c>
      <c r="E30" s="11" t="s">
        <v>48</v>
      </c>
    </row>
    <row r="31" spans="2:5" x14ac:dyDescent="0.25">
      <c r="B31" s="11" t="s">
        <v>57</v>
      </c>
      <c r="C31" s="15" t="s">
        <v>47</v>
      </c>
      <c r="E31" s="11" t="s">
        <v>48</v>
      </c>
    </row>
    <row r="32" spans="2:5" x14ac:dyDescent="0.25">
      <c r="B32" s="11" t="s">
        <v>58</v>
      </c>
      <c r="C32" s="15" t="s">
        <v>59</v>
      </c>
      <c r="E32" s="11" t="s">
        <v>42</v>
      </c>
    </row>
    <row r="46" spans="2:2" x14ac:dyDescent="0.25">
      <c r="B46" s="3" t="s">
        <v>60</v>
      </c>
    </row>
    <row r="47" spans="2:3" x14ac:dyDescent="0.25">
      <c r="B47" s="3" t="s">
        <v>61</v>
      </c>
      <c r="C47" s="4" t="s">
        <v>62</v>
      </c>
    </row>
    <row r="48" spans="2:3" x14ac:dyDescent="0.25">
      <c r="B48" s="3" t="s">
        <v>63</v>
      </c>
      <c r="C48" s="4">
        <v>40</v>
      </c>
    </row>
    <row r="49" spans="2:3" x14ac:dyDescent="0.25">
      <c r="B49" s="3" t="s">
        <v>64</v>
      </c>
      <c r="C49" s="4">
        <v>2</v>
      </c>
    </row>
    <row r="50" spans="2:3" x14ac:dyDescent="0.25">
      <c r="B50" s="3" t="s">
        <v>65</v>
      </c>
      <c r="C50" s="4" t="s">
        <v>66</v>
      </c>
    </row>
    <row r="51" spans="2:3" x14ac:dyDescent="0.25">
      <c r="B51" s="3" t="s">
        <v>67</v>
      </c>
      <c r="C51" s="4" t="s">
        <v>68</v>
      </c>
    </row>
    <row r="52" spans="2:3" x14ac:dyDescent="0.25">
      <c r="B52" s="3" t="s">
        <v>69</v>
      </c>
      <c r="C52" s="4" t="s">
        <v>70</v>
      </c>
    </row>
    <row r="55" spans="2:2" x14ac:dyDescent="0.25">
      <c r="B55" s="3" t="s">
        <v>71</v>
      </c>
    </row>
    <row r="56" spans="2:5" x14ac:dyDescent="0.25">
      <c r="B56" s="6" t="s">
        <v>72</v>
      </c>
      <c r="C56" s="6" t="s">
        <v>73</v>
      </c>
      <c r="D56" s="6" t="s">
        <v>74</v>
      </c>
      <c r="E56" s="6" t="s">
        <v>75</v>
      </c>
    </row>
    <row r="57" spans="2:5" x14ac:dyDescent="0.25">
      <c r="B57" s="11" t="s">
        <v>76</v>
      </c>
      <c r="C57" s="16">
        <v>0.74</v>
      </c>
      <c r="D57" s="16">
        <v>2.86</v>
      </c>
      <c r="E57" s="11" t="s">
        <v>77</v>
      </c>
    </row>
    <row r="58" spans="2:5" x14ac:dyDescent="0.25">
      <c r="B58" s="11" t="s">
        <v>78</v>
      </c>
      <c r="C58" s="16">
        <v>0.06</v>
      </c>
      <c r="D58" s="16">
        <v>7.98</v>
      </c>
      <c r="E58" s="11" t="s">
        <v>77</v>
      </c>
    </row>
    <row r="59" spans="2:5" x14ac:dyDescent="0.25">
      <c r="B59" s="11" t="s">
        <v>79</v>
      </c>
      <c r="C59" s="16">
        <v>0.8</v>
      </c>
      <c r="D59" s="16">
        <v>0.8</v>
      </c>
      <c r="E59" s="11" t="s">
        <v>80</v>
      </c>
    </row>
    <row r="60" spans="2:5" x14ac:dyDescent="0.25">
      <c r="B60" s="11" t="s">
        <v>81</v>
      </c>
      <c r="C60" s="16">
        <v>15.44</v>
      </c>
      <c r="D60" s="16">
        <v>53</v>
      </c>
      <c r="E60" s="11" t="s">
        <v>82</v>
      </c>
    </row>
    <row r="61" spans="2:5" x14ac:dyDescent="0.25">
      <c r="B61" s="11" t="s">
        <v>83</v>
      </c>
      <c r="C61" s="16">
        <v>1.59</v>
      </c>
      <c r="D61" s="16">
        <v>4.32</v>
      </c>
      <c r="E61" s="11" t="s">
        <v>84</v>
      </c>
    </row>
    <row r="62" spans="2:4" x14ac:dyDescent="0.25">
      <c r="B62" s="3" t="s">
        <v>85</v>
      </c>
      <c r="C62" s="17">
        <f>SUM(C57:C61)</f>
        <v>18.63</v>
      </c>
      <c r="D62" s="17">
        <f>SUM(D57:D61)</f>
        <v>68.96</v>
      </c>
    </row>
    <row r="63" spans="2:3" x14ac:dyDescent="0.25">
      <c r="B63" s="3" t="s">
        <v>86</v>
      </c>
      <c r="C63" s="4" t="s">
        <v>87</v>
      </c>
    </row>
    <row r="64" spans="2:3" x14ac:dyDescent="0.25">
      <c r="B64" s="3" t="s">
        <v>88</v>
      </c>
      <c r="C64" s="4" t="s">
        <v>89</v>
      </c>
    </row>
    <row r="66" spans="2:2" x14ac:dyDescent="0.25">
      <c r="B66" s="3" t="s">
        <v>90</v>
      </c>
    </row>
    <row r="67" spans="2:2" x14ac:dyDescent="0.25">
      <c r="B67" s="11" t="s">
        <v>91</v>
      </c>
    </row>
    <row r="68" spans="2:3" x14ac:dyDescent="0.25">
      <c r="B68" s="11" t="s">
        <v>92</v>
      </c>
      <c r="C68" s="4" t="s">
        <v>93</v>
      </c>
    </row>
    <row r="70" spans="2:2" x14ac:dyDescent="0.25">
      <c r="B70" s="3" t="s">
        <v>94</v>
      </c>
    </row>
    <row r="71" spans="2:3" x14ac:dyDescent="0.25">
      <c r="B71" s="11" t="s">
        <v>95</v>
      </c>
      <c r="C71" s="16">
        <v>2</v>
      </c>
    </row>
    <row r="72" spans="2:4" x14ac:dyDescent="0.25">
      <c r="B72" s="11" t="s">
        <v>96</v>
      </c>
      <c r="C72" s="16">
        <v>10.57</v>
      </c>
      <c r="D72" s="16">
        <v>17.95</v>
      </c>
    </row>
    <row r="74" spans="2:2" x14ac:dyDescent="0.25">
      <c r="B74" s="3" t="s">
        <v>97</v>
      </c>
    </row>
    <row r="75" spans="2:2" x14ac:dyDescent="0.25">
      <c r="B75" s="11" t="s">
        <v>98</v>
      </c>
    </row>
    <row r="76" spans="2:2" x14ac:dyDescent="0.25">
      <c r="B76" s="11" t="s">
        <v>99</v>
      </c>
    </row>
    <row r="77" spans="2:2" x14ac:dyDescent="0.25">
      <c r="B77" s="11" t="s">
        <v>100</v>
      </c>
    </row>
    <row r="78" spans="2:2" x14ac:dyDescent="0.25">
      <c r="B78" s="11" t="s">
        <v>101</v>
      </c>
    </row>
    <row r="79" spans="2:2" x14ac:dyDescent="0.25">
      <c r="B79" s="11" t="s">
        <v>102</v>
      </c>
    </row>
    <row r="80" spans="2:2" x14ac:dyDescent="0.25">
      <c r="B80" s="11" t="s">
        <v>103</v>
      </c>
    </row>
    <row r="81" spans="2:2" x14ac:dyDescent="0.25">
      <c r="B81" s="11" t="s">
        <v>104</v>
      </c>
    </row>
    <row r="82" spans="2:2" x14ac:dyDescent="0.25">
      <c r="B82" s="11" t="s">
        <v>105</v>
      </c>
    </row>
    <row r="83" spans="2:2" x14ac:dyDescent="0.25">
      <c r="B83" s="11" t="s">
        <v>106</v>
      </c>
    </row>
    <row r="84" spans="2:2" x14ac:dyDescent="0.25">
      <c r="B84" s="11" t="s">
        <v>107</v>
      </c>
    </row>
    <row r="85" spans="2:2" x14ac:dyDescent="0.25">
      <c r="B85" s="11" t="s">
        <v>108</v>
      </c>
    </row>
    <row r="86" spans="2:2" x14ac:dyDescent="0.25">
      <c r="B86" s="11" t="s">
        <v>109</v>
      </c>
    </row>
    <row r="87" spans="2:2" x14ac:dyDescent="0.25">
      <c r="B87" s="11" t="s">
        <v>110</v>
      </c>
    </row>
    <row r="88" spans="2:2" x14ac:dyDescent="0.25">
      <c r="B88" s="11" t="s">
        <v>111</v>
      </c>
    </row>
    <row r="89" spans="2:2" x14ac:dyDescent="0.25">
      <c r="B89" s="11" t="s">
        <v>112</v>
      </c>
    </row>
    <row r="90" spans="2:2" x14ac:dyDescent="0.25">
      <c r="B90" s="11" t="s">
        <v>113</v>
      </c>
    </row>
    <row r="91" spans="2:2" x14ac:dyDescent="0.25">
      <c r="B91" s="11" t="s">
        <v>114</v>
      </c>
    </row>
    <row r="92" spans="2:2" x14ac:dyDescent="0.25">
      <c r="B92" s="11" t="s">
        <v>115</v>
      </c>
    </row>
    <row r="93" spans="2:2" x14ac:dyDescent="0.25">
      <c r="B93" s="11" t="s">
        <v>116</v>
      </c>
    </row>
    <row r="94" spans="2:2" x14ac:dyDescent="0.25">
      <c r="B94" s="11" t="s">
        <v>117</v>
      </c>
    </row>
    <row r="95" spans="2:2" x14ac:dyDescent="0.25">
      <c r="B95" s="11" t="s">
        <v>118</v>
      </c>
    </row>
    <row r="96" spans="2:2" x14ac:dyDescent="0.25">
      <c r="B96" s="11" t="s">
        <v>119</v>
      </c>
    </row>
    <row r="97" spans="2:2" x14ac:dyDescent="0.25">
      <c r="B97" s="11" t="s">
        <v>120</v>
      </c>
    </row>
    <row r="98" spans="2:2" x14ac:dyDescent="0.25">
      <c r="B98" s="11" t="s">
        <v>121</v>
      </c>
    </row>
    <row r="99" spans="2:2" x14ac:dyDescent="0.25">
      <c r="B99" s="11" t="s">
        <v>122</v>
      </c>
    </row>
    <row r="100" spans="2:2" x14ac:dyDescent="0.25">
      <c r="B100" s="11" t="s">
        <v>123</v>
      </c>
    </row>
    <row r="101" spans="2:2" x14ac:dyDescent="0.25">
      <c r="B101" s="11" t="s">
        <v>124</v>
      </c>
    </row>
    <row r="102" spans="2:2" x14ac:dyDescent="0.25">
      <c r="B102" s="11" t="s">
        <v>125</v>
      </c>
    </row>
  </sheetData>
  <mergeCells count="4">
    <mergeCell ref="B2:E2"/>
    <mergeCell ref="B3:E3"/>
    <mergeCell ref="C9:D9"/>
    <mergeCell ref="F9:G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6"/>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126</v>
      </c>
      <c r="C2" s="18"/>
      <c r="D2" s="18"/>
      <c r="E2" s="18"/>
      <c r="F2" s="18"/>
    </row>
    <row r="3" spans="2:6" x14ac:dyDescent="0.25">
      <c r="B3" s="19" t="s">
        <v>8</v>
      </c>
      <c r="C3" s="19"/>
      <c r="D3" s="19"/>
      <c r="E3" s="19"/>
      <c r="F3" s="19"/>
    </row>
    <row r="4" spans="2:6" x14ac:dyDescent="0.25">
      <c r="B4" s="20" t="s">
        <v>127</v>
      </c>
      <c r="C4" s="20"/>
      <c r="D4" s="20"/>
      <c r="E4" s="20"/>
      <c r="F4" s="20"/>
    </row>
    <row r="6" spans="3:11" x14ac:dyDescent="0.25">
      <c r="C6" s="21" t="s">
        <v>128</v>
      </c>
      <c r="D6" s="22">
        <f>D26+D31+D36</f>
        <v>30.57</v>
      </c>
      <c r="E6" s="22">
        <f>E26+E31+E36</f>
        <v>51.55</v>
      </c>
      <c r="F6" s="23" t="s">
        <v>129</v>
      </c>
      <c r="I6" s="21" t="s">
        <v>130</v>
      </c>
      <c r="J6" s="22">
        <f>J26+J31+J36</f>
        <v>62.58</v>
      </c>
      <c r="K6" s="22">
        <f>K26+K31+K36</f>
        <v>110.56</v>
      </c>
    </row>
    <row r="8" spans="2:13" x14ac:dyDescent="0.25">
      <c r="B8" s="24" t="s">
        <v>131</v>
      </c>
      <c r="C8" s="25" t="s">
        <v>132</v>
      </c>
      <c r="D8" s="26" t="s">
        <v>14</v>
      </c>
      <c r="E8" s="26" t="s">
        <v>15</v>
      </c>
      <c r="F8" s="24" t="s">
        <v>16</v>
      </c>
      <c r="G8" s="24" t="s">
        <v>133</v>
      </c>
      <c r="H8" s="24" t="s">
        <v>134</v>
      </c>
      <c r="I8" s="24" t="s">
        <v>135</v>
      </c>
      <c r="J8" s="24" t="s">
        <v>17</v>
      </c>
      <c r="K8" s="24" t="s">
        <v>18</v>
      </c>
      <c r="L8" s="24" t="s">
        <v>136</v>
      </c>
      <c r="M8" s="24" t="s">
        <v>137</v>
      </c>
    </row>
    <row r="9" spans="2:13" x14ac:dyDescent="0.25">
      <c r="B9" s="27">
        <v>1</v>
      </c>
      <c r="C9" s="28" t="s">
        <v>138</v>
      </c>
      <c r="D9" s="29">
        <f>SUM(D10:D10)</f>
        <v>17.47</v>
      </c>
      <c r="E9" s="29">
        <f>SUM(E10:E10)</f>
        <v>30.58</v>
      </c>
      <c r="F9" s="30" t="s">
        <v>42</v>
      </c>
      <c r="J9" s="16">
        <f>SUM(J10:J10)</f>
        <v>17.47</v>
      </c>
      <c r="K9" s="16">
        <f>SUM(K10:K10)</f>
        <v>30.58</v>
      </c>
      <c r="L9" s="16">
        <f>SUM(L10:L10)</f>
        <v>1.99</v>
      </c>
      <c r="M9" s="16">
        <f>SUM(M10:M10)</f>
        <v>6.7</v>
      </c>
    </row>
    <row r="10" spans="2:13" x14ac:dyDescent="0.25">
      <c r="B10" s="11" t="s">
        <v>42</v>
      </c>
      <c r="C10" s="31" t="s">
        <v>139</v>
      </c>
      <c r="D10" s="32">
        <v>17.47</v>
      </c>
      <c r="E10" s="32">
        <v>30.58</v>
      </c>
      <c r="F10" s="9" t="s">
        <v>140</v>
      </c>
      <c r="G10" t="s">
        <v>141</v>
      </c>
      <c r="H10" t="s">
        <v>42</v>
      </c>
      <c r="I10" t="s">
        <v>142</v>
      </c>
      <c r="J10" s="16">
        <v>17.47</v>
      </c>
      <c r="K10" s="16">
        <v>30.58</v>
      </c>
      <c r="L10" s="16">
        <v>1.99</v>
      </c>
      <c r="M10" s="16">
        <v>6.7</v>
      </c>
    </row>
    <row r="12" spans="2:13" x14ac:dyDescent="0.25">
      <c r="B12" s="27">
        <v>2</v>
      </c>
      <c r="C12" s="28" t="s">
        <v>143</v>
      </c>
      <c r="D12" s="29">
        <f>SUM(D13:D14)</f>
        <v>0</v>
      </c>
      <c r="E12" s="29">
        <f>SUM(E13:E14)</f>
        <v>0</v>
      </c>
      <c r="F12" s="30" t="s">
        <v>42</v>
      </c>
      <c r="J12" s="16">
        <f>SUM(J13:J14)</f>
        <v>5.52</v>
      </c>
      <c r="K12" s="16">
        <f>SUM(K13:K14)</f>
        <v>11.04</v>
      </c>
      <c r="L12" s="16">
        <f>SUM(L13:L14)</f>
        <v>0.69</v>
      </c>
      <c r="M12" s="16">
        <f>SUM(M13:M14)</f>
        <v>2.31</v>
      </c>
    </row>
    <row r="13" spans="2:13" x14ac:dyDescent="0.25">
      <c r="B13" s="11" t="s">
        <v>42</v>
      </c>
      <c r="C13" s="31" t="s">
        <v>144</v>
      </c>
      <c r="D13" s="32">
        <v>0</v>
      </c>
      <c r="E13" s="32">
        <v>0</v>
      </c>
      <c r="F13" s="9" t="s">
        <v>145</v>
      </c>
      <c r="G13" t="s">
        <v>146</v>
      </c>
      <c r="H13" t="s">
        <v>147</v>
      </c>
      <c r="I13" t="s">
        <v>148</v>
      </c>
      <c r="J13" s="16">
        <v>3.9</v>
      </c>
      <c r="K13" s="16">
        <v>7.8</v>
      </c>
      <c r="L13" s="16">
        <v>0.49</v>
      </c>
      <c r="M13" s="16">
        <v>1.63</v>
      </c>
    </row>
    <row r="14" spans="2:13" x14ac:dyDescent="0.25">
      <c r="B14" s="11" t="s">
        <v>42</v>
      </c>
      <c r="C14" s="31" t="s">
        <v>149</v>
      </c>
      <c r="D14" s="32">
        <v>0</v>
      </c>
      <c r="E14" s="32">
        <v>0</v>
      </c>
      <c r="F14" s="9" t="s">
        <v>150</v>
      </c>
      <c r="G14" t="s">
        <v>146</v>
      </c>
      <c r="H14" t="s">
        <v>151</v>
      </c>
      <c r="I14" t="s">
        <v>152</v>
      </c>
      <c r="J14" s="16">
        <v>1.62</v>
      </c>
      <c r="K14" s="16">
        <v>3.24</v>
      </c>
      <c r="L14" s="16">
        <v>0.2</v>
      </c>
      <c r="M14" s="16">
        <v>0.68</v>
      </c>
    </row>
    <row r="16" spans="2:13" x14ac:dyDescent="0.25">
      <c r="B16" s="27">
        <v>3</v>
      </c>
      <c r="C16" s="28" t="s">
        <v>153</v>
      </c>
      <c r="D16" s="29">
        <f>SUM(D17:D18)</f>
        <v>0</v>
      </c>
      <c r="E16" s="29">
        <f>SUM(E17:E18)</f>
        <v>0</v>
      </c>
      <c r="F16" s="30" t="s">
        <v>42</v>
      </c>
      <c r="J16" s="16">
        <f>SUM(J17:J18)</f>
        <v>14.96</v>
      </c>
      <c r="K16" s="16">
        <f>SUM(K17:K18)</f>
        <v>26.72</v>
      </c>
      <c r="L16" s="16">
        <f>SUM(L17:L18)</f>
        <v>1.73</v>
      </c>
      <c r="M16" s="16">
        <f>SUM(M17:M18)</f>
        <v>5.81</v>
      </c>
    </row>
    <row r="17" spans="2:13" x14ac:dyDescent="0.25">
      <c r="B17" s="11" t="s">
        <v>42</v>
      </c>
      <c r="C17" s="31" t="s">
        <v>154</v>
      </c>
      <c r="D17" s="32">
        <v>0</v>
      </c>
      <c r="E17" s="32">
        <v>0</v>
      </c>
      <c r="F17" s="9" t="s">
        <v>155</v>
      </c>
      <c r="G17" t="s">
        <v>146</v>
      </c>
      <c r="H17" t="s">
        <v>156</v>
      </c>
      <c r="I17" t="s">
        <v>157</v>
      </c>
      <c r="J17" s="16">
        <v>2.16</v>
      </c>
      <c r="K17" s="16">
        <v>4.32</v>
      </c>
      <c r="L17" s="16">
        <v>0.27</v>
      </c>
      <c r="M17" s="16">
        <v>0.9</v>
      </c>
    </row>
    <row r="18" spans="2:13" x14ac:dyDescent="0.25">
      <c r="B18" s="11" t="s">
        <v>42</v>
      </c>
      <c r="C18" s="31" t="s">
        <v>158</v>
      </c>
      <c r="D18" s="32">
        <v>0</v>
      </c>
      <c r="E18" s="32">
        <v>0</v>
      </c>
      <c r="F18" s="9" t="s">
        <v>159</v>
      </c>
      <c r="G18" t="s">
        <v>146</v>
      </c>
      <c r="H18" t="s">
        <v>160</v>
      </c>
      <c r="I18" t="s">
        <v>161</v>
      </c>
      <c r="J18" s="16">
        <v>12.8</v>
      </c>
      <c r="K18" s="16">
        <v>22.4</v>
      </c>
      <c r="L18" s="16">
        <v>1.46</v>
      </c>
      <c r="M18" s="16">
        <v>4.91</v>
      </c>
    </row>
    <row r="20" spans="2:13" x14ac:dyDescent="0.25">
      <c r="B20" s="27">
        <v>4</v>
      </c>
      <c r="C20" s="28" t="s">
        <v>162</v>
      </c>
      <c r="D20" s="29">
        <f>SUM(D21:D24)</f>
        <v>13.1</v>
      </c>
      <c r="E20" s="29">
        <f>SUM(E21:E24)</f>
        <v>20.97</v>
      </c>
      <c r="F20" s="30" t="s">
        <v>42</v>
      </c>
      <c r="J20" s="16">
        <f>SUM(J21:J24)</f>
        <v>24.63</v>
      </c>
      <c r="K20" s="16">
        <f>SUM(K21:K24)</f>
        <v>42.22</v>
      </c>
      <c r="L20" s="16">
        <f>SUM(L21:L24)</f>
        <v>2.77</v>
      </c>
      <c r="M20" s="16">
        <f>SUM(M21:M24)</f>
        <v>9.32</v>
      </c>
    </row>
    <row r="21" spans="2:13" x14ac:dyDescent="0.25">
      <c r="B21" s="11" t="s">
        <v>42</v>
      </c>
      <c r="C21" s="31" t="s">
        <v>163</v>
      </c>
      <c r="D21" s="32">
        <v>13.1</v>
      </c>
      <c r="E21" s="32">
        <v>20.97</v>
      </c>
      <c r="F21" s="9" t="s">
        <v>164</v>
      </c>
      <c r="G21" t="s">
        <v>141</v>
      </c>
      <c r="H21" t="s">
        <v>165</v>
      </c>
      <c r="I21" t="s">
        <v>166</v>
      </c>
      <c r="J21" s="16">
        <v>13.1</v>
      </c>
      <c r="K21" s="16">
        <v>20.97</v>
      </c>
      <c r="L21" s="16">
        <v>1.41</v>
      </c>
      <c r="M21" s="16">
        <v>4.75</v>
      </c>
    </row>
    <row r="22" spans="2:13" x14ac:dyDescent="0.25">
      <c r="B22" s="11" t="s">
        <v>42</v>
      </c>
      <c r="C22" s="31" t="s">
        <v>167</v>
      </c>
      <c r="D22" s="32">
        <v>0</v>
      </c>
      <c r="E22" s="32">
        <v>0</v>
      </c>
      <c r="F22" s="9" t="s">
        <v>168</v>
      </c>
      <c r="G22" t="s">
        <v>146</v>
      </c>
      <c r="H22" t="s">
        <v>169</v>
      </c>
      <c r="I22" t="s">
        <v>170</v>
      </c>
      <c r="J22" s="16">
        <v>2.7</v>
      </c>
      <c r="K22" s="16">
        <v>5.4</v>
      </c>
      <c r="L22" s="16">
        <v>0.34</v>
      </c>
      <c r="M22" s="16">
        <v>1.13</v>
      </c>
    </row>
    <row r="23" spans="2:13" x14ac:dyDescent="0.25">
      <c r="B23" s="11" t="s">
        <v>42</v>
      </c>
      <c r="C23" s="31" t="s">
        <v>171</v>
      </c>
      <c r="D23" s="32">
        <v>0</v>
      </c>
      <c r="E23" s="32">
        <v>0</v>
      </c>
      <c r="F23" s="9" t="s">
        <v>172</v>
      </c>
      <c r="G23" t="s">
        <v>146</v>
      </c>
      <c r="H23" t="s">
        <v>173</v>
      </c>
      <c r="I23" t="s">
        <v>174</v>
      </c>
      <c r="J23" s="16">
        <v>1.62</v>
      </c>
      <c r="K23" s="16">
        <v>3.24</v>
      </c>
      <c r="L23" s="16">
        <v>0.2</v>
      </c>
      <c r="M23" s="16">
        <v>0.68</v>
      </c>
    </row>
    <row r="24" spans="2:13" x14ac:dyDescent="0.25">
      <c r="B24" s="11" t="s">
        <v>42</v>
      </c>
      <c r="C24" s="31" t="s">
        <v>175</v>
      </c>
      <c r="D24" s="32">
        <v>0</v>
      </c>
      <c r="E24" s="32">
        <v>0</v>
      </c>
      <c r="F24" s="9" t="s">
        <v>176</v>
      </c>
      <c r="G24" t="s">
        <v>146</v>
      </c>
      <c r="H24" t="s">
        <v>177</v>
      </c>
      <c r="I24" t="s">
        <v>178</v>
      </c>
      <c r="J24" s="16">
        <v>7.21</v>
      </c>
      <c r="K24" s="16">
        <v>12.61</v>
      </c>
      <c r="L24" s="16">
        <v>0.82</v>
      </c>
      <c r="M24" s="16">
        <v>2.76</v>
      </c>
    </row>
    <row r="26" spans="2:13" x14ac:dyDescent="0.25">
      <c r="B26" s="33" t="s">
        <v>42</v>
      </c>
      <c r="C26" s="33" t="s">
        <v>179</v>
      </c>
      <c r="D26" s="34">
        <f>D9+D12+D16+D20</f>
        <v>30.57</v>
      </c>
      <c r="E26" s="34">
        <f>E9+E12+E16+E20</f>
        <v>51.55</v>
      </c>
      <c r="F26" s="35" t="s">
        <v>42</v>
      </c>
      <c r="J26" s="17">
        <f>J9+J12+J16+J20</f>
        <v>62.58</v>
      </c>
      <c r="K26" s="17">
        <f>K9+K12+K16+K20</f>
        <v>110.56</v>
      </c>
      <c r="L26" s="17">
        <f>L9+L12+L16+L20</f>
        <v>7.18</v>
      </c>
      <c r="M26" s="17">
        <f>M9+M12+M16+M20</f>
        <v>24.14</v>
      </c>
    </row>
    <row r="29" spans="2:13" x14ac:dyDescent="0.25">
      <c r="B29" s="24" t="s">
        <v>131</v>
      </c>
      <c r="C29" s="25" t="s">
        <v>180</v>
      </c>
      <c r="D29" s="26" t="s">
        <v>14</v>
      </c>
      <c r="E29" s="26" t="s">
        <v>15</v>
      </c>
      <c r="F29" s="24" t="s">
        <v>16</v>
      </c>
      <c r="G29" s="24" t="s">
        <v>133</v>
      </c>
      <c r="H29" s="24" t="s">
        <v>134</v>
      </c>
      <c r="I29" s="24" t="s">
        <v>135</v>
      </c>
      <c r="J29" s="24" t="s">
        <v>17</v>
      </c>
      <c r="K29" s="24" t="s">
        <v>18</v>
      </c>
      <c r="L29" s="24" t="s">
        <v>136</v>
      </c>
      <c r="M29" s="24" t="s">
        <v>137</v>
      </c>
    </row>
    <row r="30" spans="2:13" x14ac:dyDescent="0.25">
      <c r="B30" s="11">
        <v>1</v>
      </c>
      <c r="C30" s="31" t="s">
        <v>181</v>
      </c>
      <c r="D30" s="32">
        <v>0</v>
      </c>
      <c r="E30" s="32">
        <v>0</v>
      </c>
      <c r="F30" s="9" t="s">
        <v>42</v>
      </c>
      <c r="J30" s="16">
        <v>0</v>
      </c>
      <c r="K30" s="16">
        <v>0</v>
      </c>
      <c r="L30" s="16">
        <v>0</v>
      </c>
      <c r="M30" s="16">
        <v>0</v>
      </c>
    </row>
    <row r="31" spans="2:13" x14ac:dyDescent="0.25">
      <c r="B31" s="33" t="s">
        <v>42</v>
      </c>
      <c r="C31" s="33" t="s">
        <v>182</v>
      </c>
      <c r="D31" s="34">
        <f>SUM(D30:D30)</f>
        <v>0</v>
      </c>
      <c r="E31" s="34">
        <f>SUM(E30:E30)</f>
        <v>0</v>
      </c>
      <c r="F31" s="35" t="s">
        <v>42</v>
      </c>
      <c r="J31" s="17">
        <f>SUM(J30:J30)</f>
        <v>0</v>
      </c>
      <c r="K31" s="17">
        <f>SUM(K30:K30)</f>
        <v>0</v>
      </c>
      <c r="L31" s="17">
        <f>SUM(L30:L30)</f>
        <v>0</v>
      </c>
      <c r="M31" s="17">
        <f>SUM(M30:M30)</f>
        <v>0</v>
      </c>
    </row>
    <row r="34" spans="2:13" x14ac:dyDescent="0.25">
      <c r="B34" s="24" t="s">
        <v>131</v>
      </c>
      <c r="C34" s="25" t="s">
        <v>183</v>
      </c>
      <c r="D34" s="26" t="s">
        <v>14</v>
      </c>
      <c r="E34" s="26" t="s">
        <v>15</v>
      </c>
      <c r="F34" s="24" t="s">
        <v>16</v>
      </c>
      <c r="G34" s="24" t="s">
        <v>133</v>
      </c>
      <c r="H34" s="24" t="s">
        <v>134</v>
      </c>
      <c r="I34" s="24" t="s">
        <v>135</v>
      </c>
      <c r="J34" s="24" t="s">
        <v>17</v>
      </c>
      <c r="K34" s="24" t="s">
        <v>18</v>
      </c>
      <c r="L34" s="24" t="s">
        <v>136</v>
      </c>
      <c r="M34" s="24" t="s">
        <v>137</v>
      </c>
    </row>
    <row r="35" spans="2:13" x14ac:dyDescent="0.25">
      <c r="B35" s="11">
        <v>1</v>
      </c>
      <c r="C35" s="31" t="s">
        <v>181</v>
      </c>
      <c r="D35" s="32">
        <v>0</v>
      </c>
      <c r="E35" s="32">
        <v>0</v>
      </c>
      <c r="F35" s="9" t="s">
        <v>184</v>
      </c>
      <c r="J35" s="16">
        <v>0</v>
      </c>
      <c r="K35" s="16">
        <v>0</v>
      </c>
      <c r="L35" s="16">
        <v>0</v>
      </c>
      <c r="M35" s="16">
        <v>0</v>
      </c>
    </row>
    <row r="36" spans="2:13" x14ac:dyDescent="0.25">
      <c r="B36" s="33" t="s">
        <v>42</v>
      </c>
      <c r="C36" s="33" t="s">
        <v>185</v>
      </c>
      <c r="D36" s="34">
        <f>SUM(D35:D35)</f>
        <v>0</v>
      </c>
      <c r="E36" s="34">
        <f>SUM(E35:E35)</f>
        <v>0</v>
      </c>
      <c r="F36" s="35" t="s">
        <v>42</v>
      </c>
      <c r="J36" s="17">
        <f>SUM(J35:J35)</f>
        <v>0</v>
      </c>
      <c r="K36" s="17">
        <f>SUM(K35:K35)</f>
        <v>0</v>
      </c>
      <c r="L36" s="17">
        <f>SUM(L35:L35)</f>
        <v>0</v>
      </c>
      <c r="M36" s="17">
        <f>SUM(M35:M35)</f>
        <v>0</v>
      </c>
    </row>
    <row r="39" spans="2:6" x14ac:dyDescent="0.25">
      <c r="B39" s="24" t="s">
        <v>131</v>
      </c>
      <c r="C39" s="25" t="s">
        <v>186</v>
      </c>
      <c r="D39" s="25"/>
      <c r="E39" s="25"/>
      <c r="F39" s="25"/>
    </row>
    <row r="40" spans="2:6" x14ac:dyDescent="0.25">
      <c r="B40" s="11">
        <v>1</v>
      </c>
      <c r="C40" s="31" t="s">
        <v>98</v>
      </c>
      <c r="D40" s="31"/>
      <c r="E40" s="31"/>
      <c r="F40" s="31"/>
    </row>
    <row r="41" spans="2:6" x14ac:dyDescent="0.25">
      <c r="B41" s="11">
        <v>2</v>
      </c>
      <c r="C41" s="31" t="s">
        <v>99</v>
      </c>
      <c r="D41" s="31"/>
      <c r="E41" s="31"/>
      <c r="F41" s="31"/>
    </row>
    <row r="42" spans="2:6" x14ac:dyDescent="0.25">
      <c r="B42" s="11">
        <v>3</v>
      </c>
      <c r="C42" s="31" t="s">
        <v>100</v>
      </c>
      <c r="D42" s="31"/>
      <c r="E42" s="31"/>
      <c r="F42" s="31"/>
    </row>
    <row r="43" spans="2:6" x14ac:dyDescent="0.25">
      <c r="B43" s="11">
        <v>4</v>
      </c>
      <c r="C43" s="31" t="s">
        <v>101</v>
      </c>
      <c r="D43" s="31"/>
      <c r="E43" s="31"/>
      <c r="F43" s="31"/>
    </row>
    <row r="44" spans="2:6" x14ac:dyDescent="0.25">
      <c r="B44" s="11">
        <v>5</v>
      </c>
      <c r="C44" s="31" t="s">
        <v>102</v>
      </c>
      <c r="D44" s="31"/>
      <c r="E44" s="31"/>
      <c r="F44" s="31"/>
    </row>
    <row r="45" spans="2:6" x14ac:dyDescent="0.25">
      <c r="B45" s="11">
        <v>6</v>
      </c>
      <c r="C45" s="31" t="s">
        <v>103</v>
      </c>
      <c r="D45" s="31"/>
      <c r="E45" s="31"/>
      <c r="F45" s="31"/>
    </row>
    <row r="46" spans="2:6" x14ac:dyDescent="0.25">
      <c r="B46" s="11">
        <v>7</v>
      </c>
      <c r="C46" s="31" t="s">
        <v>104</v>
      </c>
      <c r="D46" s="31"/>
      <c r="E46" s="31"/>
      <c r="F46" s="31"/>
    </row>
    <row r="47" spans="2:6" x14ac:dyDescent="0.25">
      <c r="B47" s="11">
        <v>8</v>
      </c>
      <c r="C47" s="31" t="s">
        <v>105</v>
      </c>
      <c r="D47" s="31"/>
      <c r="E47" s="31"/>
      <c r="F47" s="31"/>
    </row>
    <row r="48" spans="2:6" x14ac:dyDescent="0.25">
      <c r="B48" s="11">
        <v>9</v>
      </c>
      <c r="C48" s="31" t="s">
        <v>106</v>
      </c>
      <c r="D48" s="31"/>
      <c r="E48" s="31"/>
      <c r="F48" s="31"/>
    </row>
    <row r="49" spans="2:6" x14ac:dyDescent="0.25">
      <c r="B49" s="11">
        <v>10</v>
      </c>
      <c r="C49" s="31" t="s">
        <v>107</v>
      </c>
      <c r="D49" s="31"/>
      <c r="E49" s="31"/>
      <c r="F49" s="31"/>
    </row>
    <row r="50" spans="2:6" x14ac:dyDescent="0.25">
      <c r="B50" s="11">
        <v>11</v>
      </c>
      <c r="C50" s="31" t="s">
        <v>108</v>
      </c>
      <c r="D50" s="31"/>
      <c r="E50" s="31"/>
      <c r="F50" s="31"/>
    </row>
    <row r="51" spans="2:6" x14ac:dyDescent="0.25">
      <c r="B51" s="11">
        <v>12</v>
      </c>
      <c r="C51" s="31" t="s">
        <v>109</v>
      </c>
      <c r="D51" s="31"/>
      <c r="E51" s="31"/>
      <c r="F51" s="31"/>
    </row>
    <row r="52" spans="2:6" x14ac:dyDescent="0.25">
      <c r="B52" s="11">
        <v>13</v>
      </c>
      <c r="C52" s="31" t="s">
        <v>110</v>
      </c>
      <c r="D52" s="31"/>
      <c r="E52" s="31"/>
      <c r="F52" s="31"/>
    </row>
    <row r="53" spans="2:6" x14ac:dyDescent="0.25">
      <c r="B53" s="11">
        <v>14</v>
      </c>
      <c r="C53" s="31" t="s">
        <v>111</v>
      </c>
      <c r="D53" s="31"/>
      <c r="E53" s="31"/>
      <c r="F53" s="31"/>
    </row>
    <row r="54" spans="2:6" x14ac:dyDescent="0.25">
      <c r="B54" s="11">
        <v>15</v>
      </c>
      <c r="C54" s="31" t="s">
        <v>112</v>
      </c>
      <c r="D54" s="31"/>
      <c r="E54" s="31"/>
      <c r="F54" s="31"/>
    </row>
    <row r="55" spans="2:6" x14ac:dyDescent="0.25">
      <c r="B55" s="11">
        <v>16</v>
      </c>
      <c r="C55" s="31" t="s">
        <v>113</v>
      </c>
      <c r="D55" s="31"/>
      <c r="E55" s="31"/>
      <c r="F55" s="31"/>
    </row>
    <row r="56" spans="2:6" x14ac:dyDescent="0.25">
      <c r="B56" s="11">
        <v>17</v>
      </c>
      <c r="C56" s="31" t="s">
        <v>114</v>
      </c>
      <c r="D56" s="31"/>
      <c r="E56" s="31"/>
      <c r="F56" s="31"/>
    </row>
    <row r="57" spans="2:6" x14ac:dyDescent="0.25">
      <c r="B57" s="11">
        <v>18</v>
      </c>
      <c r="C57" s="31" t="s">
        <v>115</v>
      </c>
      <c r="D57" s="31"/>
      <c r="E57" s="31"/>
      <c r="F57" s="31"/>
    </row>
    <row r="58" spans="2:6" x14ac:dyDescent="0.25">
      <c r="B58" s="11">
        <v>19</v>
      </c>
      <c r="C58" s="31" t="s">
        <v>116</v>
      </c>
      <c r="D58" s="31"/>
      <c r="E58" s="31"/>
      <c r="F58" s="31"/>
    </row>
    <row r="59" spans="2:6" x14ac:dyDescent="0.25">
      <c r="B59" s="11">
        <v>20</v>
      </c>
      <c r="C59" s="31" t="s">
        <v>117</v>
      </c>
      <c r="D59" s="31"/>
      <c r="E59" s="31"/>
      <c r="F59" s="31"/>
    </row>
    <row r="60" spans="2:6" x14ac:dyDescent="0.25">
      <c r="B60" s="11">
        <v>21</v>
      </c>
      <c r="C60" s="31" t="s">
        <v>118</v>
      </c>
      <c r="D60" s="31"/>
      <c r="E60" s="31"/>
      <c r="F60" s="31"/>
    </row>
    <row r="61" spans="2:6" x14ac:dyDescent="0.25">
      <c r="B61" s="11">
        <v>22</v>
      </c>
      <c r="C61" s="31" t="s">
        <v>119</v>
      </c>
      <c r="D61" s="31"/>
      <c r="E61" s="31"/>
      <c r="F61" s="31"/>
    </row>
    <row r="62" spans="2:6" x14ac:dyDescent="0.25">
      <c r="B62" s="11">
        <v>23</v>
      </c>
      <c r="C62" s="31" t="s">
        <v>120</v>
      </c>
      <c r="D62" s="31"/>
      <c r="E62" s="31"/>
      <c r="F62" s="31"/>
    </row>
    <row r="63" spans="2:6" x14ac:dyDescent="0.25">
      <c r="B63" s="11">
        <v>24</v>
      </c>
      <c r="C63" s="31" t="s">
        <v>121</v>
      </c>
      <c r="D63" s="31"/>
      <c r="E63" s="31"/>
      <c r="F63" s="31"/>
    </row>
    <row r="64" spans="2:6" x14ac:dyDescent="0.25">
      <c r="B64" s="11">
        <v>25</v>
      </c>
      <c r="C64" s="31" t="s">
        <v>122</v>
      </c>
      <c r="D64" s="31"/>
      <c r="E64" s="31"/>
      <c r="F64" s="31"/>
    </row>
    <row r="65" spans="2:6" x14ac:dyDescent="0.25">
      <c r="B65" s="11">
        <v>26</v>
      </c>
      <c r="C65" s="31" t="s">
        <v>123</v>
      </c>
      <c r="D65" s="31"/>
      <c r="E65" s="31"/>
      <c r="F65" s="31"/>
    </row>
    <row r="66" spans="2:6" x14ac:dyDescent="0.25">
      <c r="B66" s="11">
        <v>27</v>
      </c>
      <c r="C66" s="31" t="s">
        <v>124</v>
      </c>
      <c r="D66" s="31"/>
      <c r="E66" s="31"/>
      <c r="F66" s="31"/>
    </row>
    <row r="67" spans="2:6" x14ac:dyDescent="0.25">
      <c r="B67" s="11">
        <v>28</v>
      </c>
      <c r="C67" s="31" t="s">
        <v>125</v>
      </c>
      <c r="D67" s="31"/>
      <c r="E67" s="31"/>
      <c r="F67" s="31"/>
    </row>
    <row r="70" spans="2:6" x14ac:dyDescent="0.25">
      <c r="B70" s="24" t="s">
        <v>131</v>
      </c>
      <c r="C70" s="25" t="s">
        <v>187</v>
      </c>
      <c r="D70" s="25"/>
      <c r="E70" s="25"/>
      <c r="F70" s="25"/>
    </row>
    <row r="71" spans="2:6" x14ac:dyDescent="0.25">
      <c r="B71" s="11">
        <v>1</v>
      </c>
      <c r="C71" s="31" t="s">
        <v>188</v>
      </c>
      <c r="D71" s="31"/>
      <c r="E71" s="31"/>
      <c r="F71" s="31"/>
    </row>
    <row r="72" spans="2:6" x14ac:dyDescent="0.25">
      <c r="B72" s="11">
        <v>2</v>
      </c>
      <c r="C72" s="31" t="s">
        <v>189</v>
      </c>
      <c r="D72" s="31"/>
      <c r="E72" s="31"/>
      <c r="F72" s="31"/>
    </row>
    <row r="73" spans="2:6" x14ac:dyDescent="0.25">
      <c r="B73" s="11">
        <v>3</v>
      </c>
      <c r="C73" s="31" t="s">
        <v>190</v>
      </c>
      <c r="D73" s="31"/>
      <c r="E73" s="31"/>
      <c r="F73" s="31"/>
    </row>
    <row r="74" spans="2:6" x14ac:dyDescent="0.25">
      <c r="B74" s="11">
        <v>4</v>
      </c>
      <c r="C74" s="31" t="s">
        <v>191</v>
      </c>
      <c r="D74" s="31"/>
      <c r="E74" s="31"/>
      <c r="F74" s="31"/>
    </row>
    <row r="75" spans="2:6" x14ac:dyDescent="0.25">
      <c r="B75" s="11">
        <v>5</v>
      </c>
      <c r="C75" s="31" t="s">
        <v>192</v>
      </c>
      <c r="D75" s="31"/>
      <c r="E75" s="31"/>
      <c r="F75" s="31"/>
    </row>
    <row r="76" spans="2:6" x14ac:dyDescent="0.25">
      <c r="B76" s="11">
        <v>6</v>
      </c>
      <c r="C76" s="31" t="s">
        <v>193</v>
      </c>
      <c r="D76" s="31"/>
      <c r="E76" s="31"/>
      <c r="F76" s="31"/>
    </row>
  </sheetData>
  <mergeCells count="39">
    <mergeCell ref="B2:F2"/>
    <mergeCell ref="B3:F3"/>
    <mergeCell ref="B4:F4"/>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70:F70"/>
    <mergeCell ref="C71:F71"/>
    <mergeCell ref="C72:F72"/>
    <mergeCell ref="C73:F73"/>
    <mergeCell ref="C74:F74"/>
    <mergeCell ref="C75:F75"/>
    <mergeCell ref="C76:F7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126</v>
      </c>
      <c r="C2" s="18"/>
      <c r="D2" s="18"/>
      <c r="E2" s="18"/>
      <c r="F2" s="18"/>
    </row>
    <row r="3" spans="2:6" x14ac:dyDescent="0.25">
      <c r="B3" s="19" t="s">
        <v>8</v>
      </c>
      <c r="C3" s="19"/>
      <c r="D3" s="19"/>
      <c r="E3" s="19"/>
      <c r="F3" s="19"/>
    </row>
    <row r="4" spans="2:6" x14ac:dyDescent="0.25">
      <c r="B4" s="20" t="s">
        <v>127</v>
      </c>
      <c r="C4" s="20"/>
      <c r="D4" s="20"/>
      <c r="E4" s="20"/>
      <c r="F4" s="20"/>
    </row>
    <row r="5" spans="2:2" x14ac:dyDescent="0.25">
      <c r="B5" s="36" t="s">
        <v>194</v>
      </c>
    </row>
    <row r="6" spans="3:11" x14ac:dyDescent="0.25">
      <c r="C6" s="21" t="s">
        <v>128</v>
      </c>
      <c r="D6" s="22">
        <f>D11+D16+D21</f>
        <v>0</v>
      </c>
      <c r="E6" s="22">
        <f>E11+E16+E21</f>
        <v>0</v>
      </c>
      <c r="F6" s="23" t="s">
        <v>129</v>
      </c>
      <c r="I6" s="21" t="s">
        <v>130</v>
      </c>
      <c r="J6" s="22">
        <f>J11+J16+J21</f>
        <v>0</v>
      </c>
      <c r="K6" s="22">
        <f>K11+K16+K21</f>
        <v>0</v>
      </c>
    </row>
    <row r="8" spans="2:13" x14ac:dyDescent="0.25">
      <c r="B8" s="24" t="s">
        <v>131</v>
      </c>
      <c r="C8" s="25" t="s">
        <v>132</v>
      </c>
      <c r="D8" s="26" t="s">
        <v>14</v>
      </c>
      <c r="E8" s="26" t="s">
        <v>15</v>
      </c>
      <c r="F8" s="24" t="s">
        <v>16</v>
      </c>
      <c r="G8" s="24" t="s">
        <v>133</v>
      </c>
      <c r="H8" s="24" t="s">
        <v>134</v>
      </c>
      <c r="I8" s="24" t="s">
        <v>135</v>
      </c>
      <c r="J8" s="24" t="s">
        <v>17</v>
      </c>
      <c r="K8" s="24" t="s">
        <v>18</v>
      </c>
      <c r="L8" s="24" t="s">
        <v>136</v>
      </c>
      <c r="M8" s="24" t="s">
        <v>137</v>
      </c>
    </row>
    <row r="9" spans="3:13" x14ac:dyDescent="0.25">
      <c r="C9" s="31" t="s">
        <v>181</v>
      </c>
      <c r="D9" s="32">
        <v>0</v>
      </c>
      <c r="E9" s="32">
        <v>0</v>
      </c>
      <c r="J9" s="16">
        <v>0</v>
      </c>
      <c r="K9" s="16">
        <v>0</v>
      </c>
      <c r="L9" s="16">
        <v>0</v>
      </c>
      <c r="M9" s="16">
        <v>0</v>
      </c>
    </row>
    <row r="11" spans="2:13" x14ac:dyDescent="0.25">
      <c r="B11" s="33" t="s">
        <v>42</v>
      </c>
      <c r="C11" s="33" t="s">
        <v>179</v>
      </c>
      <c r="D11" s="34">
        <f>D9</f>
        <v>0</v>
      </c>
      <c r="E11" s="34">
        <f>E9</f>
        <v>0</v>
      </c>
      <c r="F11" s="35" t="s">
        <v>42</v>
      </c>
      <c r="J11" s="17">
        <f>J9</f>
        <v>0</v>
      </c>
      <c r="K11" s="17">
        <f>K9</f>
        <v>0</v>
      </c>
      <c r="L11" s="17">
        <f>L9</f>
        <v>0</v>
      </c>
      <c r="M11" s="17">
        <f>M9</f>
        <v>0</v>
      </c>
    </row>
    <row r="14" spans="2:13" x14ac:dyDescent="0.25">
      <c r="B14" s="24" t="s">
        <v>131</v>
      </c>
      <c r="C14" s="25" t="s">
        <v>180</v>
      </c>
      <c r="D14" s="26" t="s">
        <v>14</v>
      </c>
      <c r="E14" s="26" t="s">
        <v>15</v>
      </c>
      <c r="F14" s="24" t="s">
        <v>16</v>
      </c>
      <c r="G14" s="24" t="s">
        <v>133</v>
      </c>
      <c r="H14" s="24" t="s">
        <v>134</v>
      </c>
      <c r="I14" s="24" t="s">
        <v>135</v>
      </c>
      <c r="J14" s="24" t="s">
        <v>17</v>
      </c>
      <c r="K14" s="24" t="s">
        <v>18</v>
      </c>
      <c r="L14" s="24" t="s">
        <v>136</v>
      </c>
      <c r="M14" s="24" t="s">
        <v>137</v>
      </c>
    </row>
    <row r="15" spans="2:13" x14ac:dyDescent="0.25">
      <c r="B15" s="11">
        <v>1</v>
      </c>
      <c r="C15" s="31" t="s">
        <v>181</v>
      </c>
      <c r="D15" s="32">
        <v>0</v>
      </c>
      <c r="E15" s="32">
        <v>0</v>
      </c>
      <c r="F15" s="9" t="s">
        <v>42</v>
      </c>
      <c r="J15" s="16">
        <v>0</v>
      </c>
      <c r="K15" s="16">
        <v>0</v>
      </c>
      <c r="L15" s="16">
        <v>0</v>
      </c>
      <c r="M15" s="16">
        <v>0</v>
      </c>
    </row>
    <row r="16" spans="2:13" x14ac:dyDescent="0.25">
      <c r="B16" s="33" t="s">
        <v>42</v>
      </c>
      <c r="C16" s="33" t="s">
        <v>182</v>
      </c>
      <c r="D16" s="34">
        <f>SUM(D15:D15)</f>
        <v>0</v>
      </c>
      <c r="E16" s="34">
        <f>SUM(E15:E15)</f>
        <v>0</v>
      </c>
      <c r="F16" s="35" t="s">
        <v>42</v>
      </c>
      <c r="J16" s="17">
        <f>SUM(J15:J15)</f>
        <v>0</v>
      </c>
      <c r="K16" s="17">
        <f>SUM(K15:K15)</f>
        <v>0</v>
      </c>
      <c r="L16" s="17">
        <f>SUM(L15:L15)</f>
        <v>0</v>
      </c>
      <c r="M16" s="17">
        <f>SUM(M15:M15)</f>
        <v>0</v>
      </c>
    </row>
    <row r="19" spans="2:13" x14ac:dyDescent="0.25">
      <c r="B19" s="24" t="s">
        <v>131</v>
      </c>
      <c r="C19" s="25" t="s">
        <v>183</v>
      </c>
      <c r="D19" s="26" t="s">
        <v>14</v>
      </c>
      <c r="E19" s="26" t="s">
        <v>15</v>
      </c>
      <c r="F19" s="24" t="s">
        <v>16</v>
      </c>
      <c r="G19" s="24" t="s">
        <v>133</v>
      </c>
      <c r="H19" s="24" t="s">
        <v>134</v>
      </c>
      <c r="I19" s="24" t="s">
        <v>135</v>
      </c>
      <c r="J19" s="24" t="s">
        <v>17</v>
      </c>
      <c r="K19" s="24" t="s">
        <v>18</v>
      </c>
      <c r="L19" s="24" t="s">
        <v>136</v>
      </c>
      <c r="M19" s="24" t="s">
        <v>137</v>
      </c>
    </row>
    <row r="20" spans="2:13" x14ac:dyDescent="0.25">
      <c r="B20" s="11">
        <v>1</v>
      </c>
      <c r="C20" s="31" t="s">
        <v>181</v>
      </c>
      <c r="D20" s="32">
        <v>0</v>
      </c>
      <c r="E20" s="32">
        <v>0</v>
      </c>
      <c r="F20" s="9" t="s">
        <v>184</v>
      </c>
      <c r="J20" s="16">
        <v>0</v>
      </c>
      <c r="K20" s="16">
        <v>0</v>
      </c>
      <c r="L20" s="16">
        <v>0</v>
      </c>
      <c r="M20" s="16">
        <v>0</v>
      </c>
    </row>
    <row r="21" spans="2:13" x14ac:dyDescent="0.25">
      <c r="B21" s="33" t="s">
        <v>42</v>
      </c>
      <c r="C21" s="33" t="s">
        <v>185</v>
      </c>
      <c r="D21" s="34">
        <f>SUM(D20:D20)</f>
        <v>0</v>
      </c>
      <c r="E21" s="34">
        <f>SUM(E20:E20)</f>
        <v>0</v>
      </c>
      <c r="F21" s="35" t="s">
        <v>42</v>
      </c>
      <c r="J21" s="17">
        <f>SUM(J20:J20)</f>
        <v>0</v>
      </c>
      <c r="K21" s="17">
        <f>SUM(K20:K20)</f>
        <v>0</v>
      </c>
      <c r="L21" s="17">
        <f>SUM(L20:L20)</f>
        <v>0</v>
      </c>
      <c r="M21" s="17">
        <f>SUM(M20:M20)</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3"/>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126</v>
      </c>
      <c r="C2" s="18"/>
      <c r="D2" s="18"/>
      <c r="E2" s="18"/>
      <c r="F2" s="18"/>
    </row>
    <row r="3" spans="2:6" x14ac:dyDescent="0.25">
      <c r="B3" s="19" t="s">
        <v>8</v>
      </c>
      <c r="C3" s="19"/>
      <c r="D3" s="19"/>
      <c r="E3" s="19"/>
      <c r="F3" s="19"/>
    </row>
    <row r="4" spans="2:6" x14ac:dyDescent="0.25">
      <c r="B4" s="20" t="s">
        <v>127</v>
      </c>
      <c r="C4" s="20"/>
      <c r="D4" s="20"/>
      <c r="E4" s="20"/>
      <c r="F4" s="20"/>
    </row>
    <row r="6" spans="3:11" x14ac:dyDescent="0.25">
      <c r="C6" s="21" t="s">
        <v>128</v>
      </c>
      <c r="D6" s="22">
        <f>D25+D30+D35</f>
        <v>6.55</v>
      </c>
      <c r="E6" s="22">
        <f>E25+E30+E35</f>
        <v>13.1</v>
      </c>
      <c r="F6" s="23" t="s">
        <v>129</v>
      </c>
      <c r="I6" s="21" t="s">
        <v>130</v>
      </c>
      <c r="J6" s="22">
        <f>J25+J30+J35</f>
        <v>65.37</v>
      </c>
      <c r="K6" s="22">
        <f>K25+K30+K35</f>
        <v>109.28</v>
      </c>
    </row>
    <row r="8" spans="2:13" x14ac:dyDescent="0.25">
      <c r="B8" s="24" t="s">
        <v>131</v>
      </c>
      <c r="C8" s="25" t="s">
        <v>132</v>
      </c>
      <c r="D8" s="26" t="s">
        <v>14</v>
      </c>
      <c r="E8" s="26" t="s">
        <v>15</v>
      </c>
      <c r="F8" s="24" t="s">
        <v>16</v>
      </c>
      <c r="G8" s="24" t="s">
        <v>133</v>
      </c>
      <c r="H8" s="24" t="s">
        <v>134</v>
      </c>
      <c r="I8" s="24" t="s">
        <v>135</v>
      </c>
      <c r="J8" s="24" t="s">
        <v>17</v>
      </c>
      <c r="K8" s="24" t="s">
        <v>18</v>
      </c>
      <c r="L8" s="24" t="s">
        <v>136</v>
      </c>
      <c r="M8" s="24" t="s">
        <v>137</v>
      </c>
    </row>
    <row r="9" spans="2:13" x14ac:dyDescent="0.25">
      <c r="B9" s="27">
        <v>1</v>
      </c>
      <c r="C9" s="28" t="s">
        <v>138</v>
      </c>
      <c r="D9" s="29">
        <f>SUM(D10:D11)</f>
        <v>6.55</v>
      </c>
      <c r="E9" s="29">
        <f>SUM(E10:E11)</f>
        <v>13.1</v>
      </c>
      <c r="F9" s="30" t="s">
        <v>42</v>
      </c>
      <c r="J9" s="16">
        <f>SUM(J10:J11)</f>
        <v>12.31</v>
      </c>
      <c r="K9" s="16">
        <f>SUM(K10:K11)</f>
        <v>23.18</v>
      </c>
      <c r="L9" s="16">
        <f>SUM(L10:L11)</f>
        <v>1.47</v>
      </c>
      <c r="M9" s="16">
        <f>SUM(M10:M11)</f>
        <v>4.95</v>
      </c>
    </row>
    <row r="10" spans="2:13" x14ac:dyDescent="0.25">
      <c r="B10" s="11" t="s">
        <v>42</v>
      </c>
      <c r="C10" s="31" t="s">
        <v>195</v>
      </c>
      <c r="D10" s="32">
        <v>0</v>
      </c>
      <c r="E10" s="32">
        <v>0</v>
      </c>
      <c r="F10" s="9" t="s">
        <v>196</v>
      </c>
      <c r="G10" t="s">
        <v>146</v>
      </c>
      <c r="H10" t="s">
        <v>197</v>
      </c>
      <c r="I10" t="s">
        <v>198</v>
      </c>
      <c r="J10" s="16">
        <v>5.76</v>
      </c>
      <c r="K10" s="16">
        <v>10.08</v>
      </c>
      <c r="L10" s="16">
        <v>0.66</v>
      </c>
      <c r="M10" s="16">
        <v>2.21</v>
      </c>
    </row>
    <row r="11" spans="2:13" x14ac:dyDescent="0.25">
      <c r="B11" s="11" t="s">
        <v>42</v>
      </c>
      <c r="C11" s="31" t="s">
        <v>199</v>
      </c>
      <c r="D11" s="32">
        <v>6.55</v>
      </c>
      <c r="E11" s="32">
        <v>13.1</v>
      </c>
      <c r="F11" s="9" t="s">
        <v>200</v>
      </c>
      <c r="G11" t="s">
        <v>141</v>
      </c>
      <c r="H11" t="s">
        <v>42</v>
      </c>
      <c r="I11" t="s">
        <v>201</v>
      </c>
      <c r="J11" s="16">
        <v>6.55</v>
      </c>
      <c r="K11" s="16">
        <v>13.1</v>
      </c>
      <c r="L11" s="16">
        <v>0.81</v>
      </c>
      <c r="M11" s="16">
        <v>2.74</v>
      </c>
    </row>
    <row r="13" spans="2:13" x14ac:dyDescent="0.25">
      <c r="B13" s="27">
        <v>2</v>
      </c>
      <c r="C13" s="28" t="s">
        <v>143</v>
      </c>
      <c r="D13" s="29">
        <f>SUM(D14:D14)</f>
        <v>0</v>
      </c>
      <c r="E13" s="29">
        <f>SUM(E14:E14)</f>
        <v>0</v>
      </c>
      <c r="F13" s="30" t="s">
        <v>42</v>
      </c>
      <c r="J13" s="16">
        <f>SUM(J14:J14)</f>
        <v>6</v>
      </c>
      <c r="K13" s="16">
        <f>SUM(K14:K14)</f>
        <v>10</v>
      </c>
      <c r="L13" s="16">
        <f>SUM(L14:L14)</f>
        <v>0.66</v>
      </c>
      <c r="M13" s="16">
        <f>SUM(M14:M14)</f>
        <v>2.23</v>
      </c>
    </row>
    <row r="14" spans="2:13" x14ac:dyDescent="0.25">
      <c r="B14" s="11" t="s">
        <v>42</v>
      </c>
      <c r="C14" s="31" t="s">
        <v>202</v>
      </c>
      <c r="D14" s="32">
        <v>0</v>
      </c>
      <c r="E14" s="32">
        <v>0</v>
      </c>
      <c r="F14" s="9" t="s">
        <v>203</v>
      </c>
      <c r="G14" t="s">
        <v>146</v>
      </c>
      <c r="H14" t="s">
        <v>204</v>
      </c>
      <c r="I14" t="s">
        <v>205</v>
      </c>
      <c r="J14" s="16">
        <v>6</v>
      </c>
      <c r="K14" s="16">
        <v>10</v>
      </c>
      <c r="L14" s="16">
        <v>0.66</v>
      </c>
      <c r="M14" s="16">
        <v>2.23</v>
      </c>
    </row>
    <row r="16" spans="2:13" x14ac:dyDescent="0.25">
      <c r="B16" s="27">
        <v>3</v>
      </c>
      <c r="C16" s="28" t="s">
        <v>206</v>
      </c>
      <c r="D16" s="29">
        <f>SUM(D17:D19)</f>
        <v>0</v>
      </c>
      <c r="E16" s="29">
        <f>SUM(E17:E19)</f>
        <v>0</v>
      </c>
      <c r="F16" s="30" t="s">
        <v>42</v>
      </c>
      <c r="J16" s="16">
        <f>SUM(J17:J19)</f>
        <v>31.66</v>
      </c>
      <c r="K16" s="16">
        <f>SUM(K17:K19)</f>
        <v>50.9</v>
      </c>
      <c r="L16" s="16">
        <f>SUM(L17:L19)</f>
        <v>3.43</v>
      </c>
      <c r="M16" s="16">
        <f>SUM(M17:M19)</f>
        <v>11.51</v>
      </c>
    </row>
    <row r="17" spans="2:13" x14ac:dyDescent="0.25">
      <c r="B17" s="11" t="s">
        <v>42</v>
      </c>
      <c r="C17" s="31" t="s">
        <v>207</v>
      </c>
      <c r="D17" s="32">
        <v>0</v>
      </c>
      <c r="E17" s="32">
        <v>0</v>
      </c>
      <c r="F17" s="9" t="s">
        <v>208</v>
      </c>
      <c r="G17" t="s">
        <v>146</v>
      </c>
      <c r="H17" t="s">
        <v>209</v>
      </c>
      <c r="I17" t="s">
        <v>210</v>
      </c>
      <c r="J17" s="16">
        <v>7.02</v>
      </c>
      <c r="K17" s="16">
        <v>11.7</v>
      </c>
      <c r="L17" s="16">
        <v>0.78</v>
      </c>
      <c r="M17" s="16">
        <v>2.61</v>
      </c>
    </row>
    <row r="18" spans="2:13" x14ac:dyDescent="0.25">
      <c r="B18" s="11" t="s">
        <v>42</v>
      </c>
      <c r="C18" s="31" t="s">
        <v>211</v>
      </c>
      <c r="D18" s="32">
        <v>0</v>
      </c>
      <c r="E18" s="32">
        <v>0</v>
      </c>
      <c r="F18" s="9" t="s">
        <v>212</v>
      </c>
      <c r="G18" t="s">
        <v>146</v>
      </c>
      <c r="H18" t="s">
        <v>213</v>
      </c>
      <c r="I18" t="s">
        <v>214</v>
      </c>
      <c r="J18" s="16">
        <v>19.6</v>
      </c>
      <c r="K18" s="16">
        <v>30.8</v>
      </c>
      <c r="L18" s="16">
        <v>2.09</v>
      </c>
      <c r="M18" s="16">
        <v>7.03</v>
      </c>
    </row>
    <row r="19" spans="2:13" x14ac:dyDescent="0.25">
      <c r="B19" s="11" t="s">
        <v>42</v>
      </c>
      <c r="C19" s="31" t="s">
        <v>215</v>
      </c>
      <c r="D19" s="32">
        <v>0</v>
      </c>
      <c r="E19" s="32">
        <v>0</v>
      </c>
      <c r="F19" s="9" t="s">
        <v>216</v>
      </c>
      <c r="G19" t="s">
        <v>146</v>
      </c>
      <c r="H19" t="s">
        <v>217</v>
      </c>
      <c r="I19" t="s">
        <v>218</v>
      </c>
      <c r="J19" s="16">
        <v>5.04</v>
      </c>
      <c r="K19" s="16">
        <v>8.4</v>
      </c>
      <c r="L19" s="16">
        <v>0.56</v>
      </c>
      <c r="M19" s="16">
        <v>1.87</v>
      </c>
    </row>
    <row r="21" spans="2:13" x14ac:dyDescent="0.25">
      <c r="B21" s="27">
        <v>4</v>
      </c>
      <c r="C21" s="28" t="s">
        <v>162</v>
      </c>
      <c r="D21" s="29">
        <f>SUM(D22:D23)</f>
        <v>0</v>
      </c>
      <c r="E21" s="29">
        <f>SUM(E22:E23)</f>
        <v>0</v>
      </c>
      <c r="F21" s="30" t="s">
        <v>42</v>
      </c>
      <c r="J21" s="16">
        <f>SUM(J22:J23)</f>
        <v>15.4</v>
      </c>
      <c r="K21" s="16">
        <f>SUM(K22:K23)</f>
        <v>25.2</v>
      </c>
      <c r="L21" s="16">
        <f>SUM(L22:L23)</f>
        <v>1.68</v>
      </c>
      <c r="M21" s="16">
        <f>SUM(M22:M23)</f>
        <v>5.66</v>
      </c>
    </row>
    <row r="22" spans="2:13" x14ac:dyDescent="0.25">
      <c r="B22" s="11" t="s">
        <v>42</v>
      </c>
      <c r="C22" s="31" t="s">
        <v>219</v>
      </c>
      <c r="D22" s="32">
        <v>0</v>
      </c>
      <c r="E22" s="32">
        <v>0</v>
      </c>
      <c r="F22" s="9" t="s">
        <v>220</v>
      </c>
      <c r="G22" t="s">
        <v>146</v>
      </c>
      <c r="H22" t="s">
        <v>221</v>
      </c>
      <c r="I22" t="s">
        <v>222</v>
      </c>
      <c r="J22" s="16">
        <v>8.4</v>
      </c>
      <c r="K22" s="16">
        <v>14</v>
      </c>
      <c r="L22" s="16">
        <v>0.93</v>
      </c>
      <c r="M22" s="16">
        <v>3.12</v>
      </c>
    </row>
    <row r="23" spans="2:13" x14ac:dyDescent="0.25">
      <c r="B23" s="11" t="s">
        <v>42</v>
      </c>
      <c r="C23" s="31" t="s">
        <v>223</v>
      </c>
      <c r="D23" s="32">
        <v>0</v>
      </c>
      <c r="E23" s="32">
        <v>0</v>
      </c>
      <c r="F23" s="9" t="s">
        <v>224</v>
      </c>
      <c r="G23" t="s">
        <v>146</v>
      </c>
      <c r="H23" t="s">
        <v>225</v>
      </c>
      <c r="I23" t="s">
        <v>226</v>
      </c>
      <c r="J23" s="16">
        <v>7</v>
      </c>
      <c r="K23" s="16">
        <v>11.2</v>
      </c>
      <c r="L23" s="16">
        <v>0.75</v>
      </c>
      <c r="M23" s="16">
        <v>2.54</v>
      </c>
    </row>
    <row r="25" spans="2:13" x14ac:dyDescent="0.25">
      <c r="B25" s="33" t="s">
        <v>42</v>
      </c>
      <c r="C25" s="33" t="s">
        <v>179</v>
      </c>
      <c r="D25" s="34">
        <f>D9+D13+D16+D21</f>
        <v>6.55</v>
      </c>
      <c r="E25" s="34">
        <f>E9+E13+E16+E21</f>
        <v>13.1</v>
      </c>
      <c r="F25" s="35" t="s">
        <v>42</v>
      </c>
      <c r="J25" s="17">
        <f>J9+J13+J16+J21</f>
        <v>65.37</v>
      </c>
      <c r="K25" s="17">
        <f>K9+K13+K16+K21</f>
        <v>109.28</v>
      </c>
      <c r="L25" s="17">
        <f>L9+L13+L16+L21</f>
        <v>7.24</v>
      </c>
      <c r="M25" s="17">
        <f>M9+M13+M16+M21</f>
        <v>24.35</v>
      </c>
    </row>
    <row r="28" spans="2:13" x14ac:dyDescent="0.25">
      <c r="B28" s="24" t="s">
        <v>131</v>
      </c>
      <c r="C28" s="25" t="s">
        <v>180</v>
      </c>
      <c r="D28" s="26" t="s">
        <v>14</v>
      </c>
      <c r="E28" s="26" t="s">
        <v>15</v>
      </c>
      <c r="F28" s="24" t="s">
        <v>16</v>
      </c>
      <c r="G28" s="24" t="s">
        <v>133</v>
      </c>
      <c r="H28" s="24" t="s">
        <v>134</v>
      </c>
      <c r="I28" s="24" t="s">
        <v>135</v>
      </c>
      <c r="J28" s="24" t="s">
        <v>17</v>
      </c>
      <c r="K28" s="24" t="s">
        <v>18</v>
      </c>
      <c r="L28" s="24" t="s">
        <v>136</v>
      </c>
      <c r="M28" s="24" t="s">
        <v>137</v>
      </c>
    </row>
    <row r="29" spans="2:13" x14ac:dyDescent="0.25">
      <c r="B29" s="11">
        <v>1</v>
      </c>
      <c r="C29" s="31" t="s">
        <v>181</v>
      </c>
      <c r="D29" s="32">
        <v>0</v>
      </c>
      <c r="E29" s="32">
        <v>0</v>
      </c>
      <c r="F29" s="9" t="s">
        <v>42</v>
      </c>
      <c r="J29" s="16">
        <v>0</v>
      </c>
      <c r="K29" s="16">
        <v>0</v>
      </c>
      <c r="L29" s="16">
        <v>0</v>
      </c>
      <c r="M29" s="16">
        <v>0</v>
      </c>
    </row>
    <row r="30" spans="2:13" x14ac:dyDescent="0.25">
      <c r="B30" s="33" t="s">
        <v>42</v>
      </c>
      <c r="C30" s="33" t="s">
        <v>182</v>
      </c>
      <c r="D30" s="34">
        <f>SUM(D29:D29)</f>
        <v>0</v>
      </c>
      <c r="E30" s="34">
        <f>SUM(E29:E29)</f>
        <v>0</v>
      </c>
      <c r="F30" s="35" t="s">
        <v>42</v>
      </c>
      <c r="J30" s="17">
        <f>SUM(J29:J29)</f>
        <v>0</v>
      </c>
      <c r="K30" s="17">
        <f>SUM(K29:K29)</f>
        <v>0</v>
      </c>
      <c r="L30" s="17">
        <f>SUM(L29:L29)</f>
        <v>0</v>
      </c>
      <c r="M30" s="17">
        <f>SUM(M29:M29)</f>
        <v>0</v>
      </c>
    </row>
    <row r="33" spans="2:13" x14ac:dyDescent="0.25">
      <c r="B33" s="24" t="s">
        <v>131</v>
      </c>
      <c r="C33" s="25" t="s">
        <v>183</v>
      </c>
      <c r="D33" s="26" t="s">
        <v>14</v>
      </c>
      <c r="E33" s="26" t="s">
        <v>15</v>
      </c>
      <c r="F33" s="24" t="s">
        <v>16</v>
      </c>
      <c r="G33" s="24" t="s">
        <v>133</v>
      </c>
      <c r="H33" s="24" t="s">
        <v>134</v>
      </c>
      <c r="I33" s="24" t="s">
        <v>135</v>
      </c>
      <c r="J33" s="24" t="s">
        <v>17</v>
      </c>
      <c r="K33" s="24" t="s">
        <v>18</v>
      </c>
      <c r="L33" s="24" t="s">
        <v>136</v>
      </c>
      <c r="M33" s="24" t="s">
        <v>137</v>
      </c>
    </row>
    <row r="34" spans="2:13" x14ac:dyDescent="0.25">
      <c r="B34" s="11">
        <v>1</v>
      </c>
      <c r="C34" s="31" t="s">
        <v>181</v>
      </c>
      <c r="D34" s="32">
        <v>0</v>
      </c>
      <c r="E34" s="32">
        <v>0</v>
      </c>
      <c r="F34" s="9" t="s">
        <v>184</v>
      </c>
      <c r="J34" s="16">
        <v>0</v>
      </c>
      <c r="K34" s="16">
        <v>0</v>
      </c>
      <c r="L34" s="16">
        <v>0</v>
      </c>
      <c r="M34" s="16">
        <v>0</v>
      </c>
    </row>
    <row r="35" spans="2:13" x14ac:dyDescent="0.25">
      <c r="B35" s="33" t="s">
        <v>42</v>
      </c>
      <c r="C35" s="33" t="s">
        <v>185</v>
      </c>
      <c r="D35" s="34">
        <f>SUM(D34:D34)</f>
        <v>0</v>
      </c>
      <c r="E35" s="34">
        <f>SUM(E34:E34)</f>
        <v>0</v>
      </c>
      <c r="F35" s="35" t="s">
        <v>42</v>
      </c>
      <c r="J35" s="17">
        <f>SUM(J34:J34)</f>
        <v>0</v>
      </c>
      <c r="K35" s="17">
        <f>SUM(K34:K34)</f>
        <v>0</v>
      </c>
      <c r="L35" s="17">
        <f>SUM(L34:L34)</f>
        <v>0</v>
      </c>
      <c r="M35" s="17">
        <f>SUM(M34:M34)</f>
        <v>0</v>
      </c>
    </row>
    <row r="38" spans="2:6" x14ac:dyDescent="0.25">
      <c r="B38" s="24" t="s">
        <v>131</v>
      </c>
      <c r="C38" s="25" t="s">
        <v>186</v>
      </c>
      <c r="D38" s="25"/>
      <c r="E38" s="25"/>
      <c r="F38" s="25"/>
    </row>
    <row r="39" spans="2:6" x14ac:dyDescent="0.25">
      <c r="B39" s="11">
        <v>1</v>
      </c>
      <c r="C39" s="31" t="s">
        <v>98</v>
      </c>
      <c r="D39" s="31"/>
      <c r="E39" s="31"/>
      <c r="F39" s="31"/>
    </row>
    <row r="40" spans="2:6" x14ac:dyDescent="0.25">
      <c r="B40" s="11">
        <v>2</v>
      </c>
      <c r="C40" s="31" t="s">
        <v>99</v>
      </c>
      <c r="D40" s="31"/>
      <c r="E40" s="31"/>
      <c r="F40" s="31"/>
    </row>
    <row r="41" spans="2:6" x14ac:dyDescent="0.25">
      <c r="B41" s="11">
        <v>3</v>
      </c>
      <c r="C41" s="31" t="s">
        <v>100</v>
      </c>
      <c r="D41" s="31"/>
      <c r="E41" s="31"/>
      <c r="F41" s="31"/>
    </row>
    <row r="42" spans="2:6" x14ac:dyDescent="0.25">
      <c r="B42" s="11">
        <v>4</v>
      </c>
      <c r="C42" s="31" t="s">
        <v>101</v>
      </c>
      <c r="D42" s="31"/>
      <c r="E42" s="31"/>
      <c r="F42" s="31"/>
    </row>
    <row r="43" spans="2:6" x14ac:dyDescent="0.25">
      <c r="B43" s="11">
        <v>5</v>
      </c>
      <c r="C43" s="31" t="s">
        <v>102</v>
      </c>
      <c r="D43" s="31"/>
      <c r="E43" s="31"/>
      <c r="F43" s="31"/>
    </row>
    <row r="44" spans="2:6" x14ac:dyDescent="0.25">
      <c r="B44" s="11">
        <v>6</v>
      </c>
      <c r="C44" s="31" t="s">
        <v>103</v>
      </c>
      <c r="D44" s="31"/>
      <c r="E44" s="31"/>
      <c r="F44" s="31"/>
    </row>
    <row r="45" spans="2:6" x14ac:dyDescent="0.25">
      <c r="B45" s="11">
        <v>7</v>
      </c>
      <c r="C45" s="31" t="s">
        <v>104</v>
      </c>
      <c r="D45" s="31"/>
      <c r="E45" s="31"/>
      <c r="F45" s="31"/>
    </row>
    <row r="46" spans="2:6" x14ac:dyDescent="0.25">
      <c r="B46" s="11">
        <v>8</v>
      </c>
      <c r="C46" s="31" t="s">
        <v>105</v>
      </c>
      <c r="D46" s="31"/>
      <c r="E46" s="31"/>
      <c r="F46" s="31"/>
    </row>
    <row r="47" spans="2:6" x14ac:dyDescent="0.25">
      <c r="B47" s="11">
        <v>9</v>
      </c>
      <c r="C47" s="31" t="s">
        <v>106</v>
      </c>
      <c r="D47" s="31"/>
      <c r="E47" s="31"/>
      <c r="F47" s="31"/>
    </row>
    <row r="48" spans="2:6" x14ac:dyDescent="0.25">
      <c r="B48" s="11">
        <v>10</v>
      </c>
      <c r="C48" s="31" t="s">
        <v>107</v>
      </c>
      <c r="D48" s="31"/>
      <c r="E48" s="31"/>
      <c r="F48" s="31"/>
    </row>
    <row r="49" spans="2:6" x14ac:dyDescent="0.25">
      <c r="B49" s="11">
        <v>11</v>
      </c>
      <c r="C49" s="31" t="s">
        <v>108</v>
      </c>
      <c r="D49" s="31"/>
      <c r="E49" s="31"/>
      <c r="F49" s="31"/>
    </row>
    <row r="50" spans="2:6" x14ac:dyDescent="0.25">
      <c r="B50" s="11">
        <v>12</v>
      </c>
      <c r="C50" s="31" t="s">
        <v>109</v>
      </c>
      <c r="D50" s="31"/>
      <c r="E50" s="31"/>
      <c r="F50" s="31"/>
    </row>
    <row r="51" spans="2:6" x14ac:dyDescent="0.25">
      <c r="B51" s="11">
        <v>13</v>
      </c>
      <c r="C51" s="31" t="s">
        <v>110</v>
      </c>
      <c r="D51" s="31"/>
      <c r="E51" s="31"/>
      <c r="F51" s="31"/>
    </row>
    <row r="52" spans="2:6" x14ac:dyDescent="0.25">
      <c r="B52" s="11">
        <v>14</v>
      </c>
      <c r="C52" s="31" t="s">
        <v>111</v>
      </c>
      <c r="D52" s="31"/>
      <c r="E52" s="31"/>
      <c r="F52" s="31"/>
    </row>
    <row r="53" spans="2:6" x14ac:dyDescent="0.25">
      <c r="B53" s="11">
        <v>15</v>
      </c>
      <c r="C53" s="31" t="s">
        <v>112</v>
      </c>
      <c r="D53" s="31"/>
      <c r="E53" s="31"/>
      <c r="F53" s="31"/>
    </row>
    <row r="54" spans="2:6" x14ac:dyDescent="0.25">
      <c r="B54" s="11">
        <v>16</v>
      </c>
      <c r="C54" s="31" t="s">
        <v>113</v>
      </c>
      <c r="D54" s="31"/>
      <c r="E54" s="31"/>
      <c r="F54" s="31"/>
    </row>
    <row r="55" spans="2:6" x14ac:dyDescent="0.25">
      <c r="B55" s="11">
        <v>17</v>
      </c>
      <c r="C55" s="31" t="s">
        <v>114</v>
      </c>
      <c r="D55" s="31"/>
      <c r="E55" s="31"/>
      <c r="F55" s="31"/>
    </row>
    <row r="56" spans="2:6" x14ac:dyDescent="0.25">
      <c r="B56" s="11">
        <v>18</v>
      </c>
      <c r="C56" s="31" t="s">
        <v>115</v>
      </c>
      <c r="D56" s="31"/>
      <c r="E56" s="31"/>
      <c r="F56" s="31"/>
    </row>
    <row r="57" spans="2:6" x14ac:dyDescent="0.25">
      <c r="B57" s="11">
        <v>19</v>
      </c>
      <c r="C57" s="31" t="s">
        <v>116</v>
      </c>
      <c r="D57" s="31"/>
      <c r="E57" s="31"/>
      <c r="F57" s="31"/>
    </row>
    <row r="58" spans="2:6" x14ac:dyDescent="0.25">
      <c r="B58" s="11">
        <v>20</v>
      </c>
      <c r="C58" s="31" t="s">
        <v>117</v>
      </c>
      <c r="D58" s="31"/>
      <c r="E58" s="31"/>
      <c r="F58" s="31"/>
    </row>
    <row r="59" spans="2:6" x14ac:dyDescent="0.25">
      <c r="B59" s="11">
        <v>21</v>
      </c>
      <c r="C59" s="31" t="s">
        <v>118</v>
      </c>
      <c r="D59" s="31"/>
      <c r="E59" s="31"/>
      <c r="F59" s="31"/>
    </row>
    <row r="60" spans="2:6" x14ac:dyDescent="0.25">
      <c r="B60" s="11">
        <v>22</v>
      </c>
      <c r="C60" s="31" t="s">
        <v>119</v>
      </c>
      <c r="D60" s="31"/>
      <c r="E60" s="31"/>
      <c r="F60" s="31"/>
    </row>
    <row r="61" spans="2:6" x14ac:dyDescent="0.25">
      <c r="B61" s="11">
        <v>23</v>
      </c>
      <c r="C61" s="31" t="s">
        <v>120</v>
      </c>
      <c r="D61" s="31"/>
      <c r="E61" s="31"/>
      <c r="F61" s="31"/>
    </row>
    <row r="62" spans="2:6" x14ac:dyDescent="0.25">
      <c r="B62" s="11">
        <v>24</v>
      </c>
      <c r="C62" s="31" t="s">
        <v>121</v>
      </c>
      <c r="D62" s="31"/>
      <c r="E62" s="31"/>
      <c r="F62" s="31"/>
    </row>
    <row r="63" spans="2:6" x14ac:dyDescent="0.25">
      <c r="B63" s="11">
        <v>25</v>
      </c>
      <c r="C63" s="31" t="s">
        <v>122</v>
      </c>
      <c r="D63" s="31"/>
      <c r="E63" s="31"/>
      <c r="F63" s="31"/>
    </row>
    <row r="64" spans="2:6" x14ac:dyDescent="0.25">
      <c r="B64" s="11">
        <v>26</v>
      </c>
      <c r="C64" s="31" t="s">
        <v>123</v>
      </c>
      <c r="D64" s="31"/>
      <c r="E64" s="31"/>
      <c r="F64" s="31"/>
    </row>
    <row r="65" spans="2:6" x14ac:dyDescent="0.25">
      <c r="B65" s="11">
        <v>27</v>
      </c>
      <c r="C65" s="31" t="s">
        <v>124</v>
      </c>
      <c r="D65" s="31"/>
      <c r="E65" s="31"/>
      <c r="F65" s="31"/>
    </row>
    <row r="66" spans="2:6" x14ac:dyDescent="0.25">
      <c r="B66" s="11">
        <v>28</v>
      </c>
      <c r="C66" s="31" t="s">
        <v>125</v>
      </c>
      <c r="D66" s="31"/>
      <c r="E66" s="31"/>
      <c r="F66" s="31"/>
    </row>
    <row r="69" spans="2:6" x14ac:dyDescent="0.25">
      <c r="B69" s="24" t="s">
        <v>131</v>
      </c>
      <c r="C69" s="25" t="s">
        <v>187</v>
      </c>
      <c r="D69" s="25"/>
      <c r="E69" s="25"/>
      <c r="F69" s="25"/>
    </row>
    <row r="70" spans="2:6" x14ac:dyDescent="0.25">
      <c r="B70" s="11">
        <v>1</v>
      </c>
      <c r="C70" s="31" t="s">
        <v>188</v>
      </c>
      <c r="D70" s="31"/>
      <c r="E70" s="31"/>
      <c r="F70" s="31"/>
    </row>
    <row r="71" spans="2:6" x14ac:dyDescent="0.25">
      <c r="B71" s="11">
        <v>2</v>
      </c>
      <c r="C71" s="31" t="s">
        <v>227</v>
      </c>
      <c r="D71" s="31"/>
      <c r="E71" s="31"/>
      <c r="F71" s="31"/>
    </row>
    <row r="72" spans="2:6" x14ac:dyDescent="0.25">
      <c r="B72" s="11">
        <v>3</v>
      </c>
      <c r="C72" s="31" t="s">
        <v>228</v>
      </c>
      <c r="D72" s="31"/>
      <c r="E72" s="31"/>
      <c r="F72" s="31"/>
    </row>
    <row r="73" spans="2:6" x14ac:dyDescent="0.25">
      <c r="B73" s="11">
        <v>4</v>
      </c>
      <c r="C73" s="31" t="s">
        <v>229</v>
      </c>
      <c r="D73" s="31"/>
      <c r="E73" s="31"/>
      <c r="F73" s="31"/>
    </row>
  </sheetData>
  <mergeCells count="37">
    <mergeCell ref="B2:F2"/>
    <mergeCell ref="B3:F3"/>
    <mergeCell ref="B4:F4"/>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9:F69"/>
    <mergeCell ref="C70:F70"/>
    <mergeCell ref="C71:F71"/>
    <mergeCell ref="C72:F72"/>
    <mergeCell ref="C73:F7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65"/>
  <sheetFormatPr defaultRowHeight="15" outlineLevelRow="0" outlineLevelCol="0" x14ac:dyDescent="55"/>
  <cols>
    <col min="1" max="2" width="7.75" customWidth="1"/>
    <col min="3" max="3" width="43.25" customWidth="1"/>
    <col min="4" max="5" width="12" customWidth="1"/>
    <col min="6" max="6" width="45.25" customWidth="1"/>
    <col min="7" max="7" width="11" customWidth="1"/>
    <col min="8" max="8" width="22" customWidth="1"/>
    <col min="10" max="13" width="12" customWidth="1"/>
    <col min="14" max="26" width="7.75" customWidth="1"/>
  </cols>
  <sheetData>
    <row r="2" spans="2:6" x14ac:dyDescent="0.25">
      <c r="B2" s="18" t="s">
        <v>230</v>
      </c>
      <c r="C2" s="18"/>
      <c r="D2" s="18"/>
      <c r="E2" s="18"/>
      <c r="F2" s="18"/>
    </row>
    <row r="3" spans="2:6" x14ac:dyDescent="0.25">
      <c r="B3" s="19" t="s">
        <v>8</v>
      </c>
      <c r="C3" s="19"/>
      <c r="D3" s="19"/>
      <c r="E3" s="19"/>
      <c r="F3" s="19"/>
    </row>
    <row r="4" spans="2:6" x14ac:dyDescent="0.25">
      <c r="B4" s="20" t="s">
        <v>127</v>
      </c>
      <c r="C4" s="20"/>
      <c r="D4" s="20"/>
      <c r="E4" s="20"/>
      <c r="F4" s="20"/>
    </row>
    <row r="6" spans="3:11" x14ac:dyDescent="0.25">
      <c r="C6" s="21" t="s">
        <v>231</v>
      </c>
      <c r="D6" s="22">
        <f>D23</f>
        <v>4</v>
      </c>
      <c r="E6" s="22">
        <f>E23</f>
        <v>8</v>
      </c>
      <c r="F6" s="23" t="s">
        <v>232</v>
      </c>
      <c r="I6" s="21" t="s">
        <v>130</v>
      </c>
      <c r="J6" s="22">
        <f>J23</f>
        <v>18.9</v>
      </c>
      <c r="K6" s="22">
        <f>K23</f>
        <v>35.8</v>
      </c>
    </row>
    <row r="8" spans="2:13" x14ac:dyDescent="0.25">
      <c r="B8" s="24" t="s">
        <v>131</v>
      </c>
      <c r="C8" s="25" t="s">
        <v>233</v>
      </c>
      <c r="D8" s="26" t="s">
        <v>14</v>
      </c>
      <c r="E8" s="26" t="s">
        <v>15</v>
      </c>
      <c r="F8" s="24" t="s">
        <v>16</v>
      </c>
      <c r="G8" s="24" t="s">
        <v>133</v>
      </c>
      <c r="H8" s="24" t="s">
        <v>134</v>
      </c>
      <c r="I8" s="24" t="s">
        <v>135</v>
      </c>
      <c r="J8" s="24" t="s">
        <v>17</v>
      </c>
      <c r="K8" s="24" t="s">
        <v>18</v>
      </c>
      <c r="L8" s="24" t="s">
        <v>136</v>
      </c>
      <c r="M8" s="24" t="s">
        <v>137</v>
      </c>
    </row>
    <row r="9" spans="2:13" x14ac:dyDescent="0.25">
      <c r="B9" s="27">
        <v>1</v>
      </c>
      <c r="C9" s="28" t="s">
        <v>234</v>
      </c>
      <c r="D9" s="29">
        <v>0</v>
      </c>
      <c r="E9" s="29">
        <v>0</v>
      </c>
      <c r="F9" s="30" t="s">
        <v>235</v>
      </c>
      <c r="J9" s="16">
        <v>0</v>
      </c>
      <c r="K9" s="16">
        <v>0</v>
      </c>
      <c r="L9" s="16">
        <v>0</v>
      </c>
      <c r="M9" s="16">
        <v>0</v>
      </c>
    </row>
    <row r="10" spans="2:13" x14ac:dyDescent="0.25">
      <c r="B10" s="27">
        <v>2</v>
      </c>
      <c r="C10" s="28" t="s">
        <v>236</v>
      </c>
      <c r="D10" s="29">
        <v>0</v>
      </c>
      <c r="E10" s="29">
        <v>0</v>
      </c>
      <c r="F10" s="30" t="s">
        <v>237</v>
      </c>
      <c r="J10" s="16">
        <v>0</v>
      </c>
      <c r="K10" s="16">
        <v>0</v>
      </c>
      <c r="L10" s="16">
        <v>0</v>
      </c>
      <c r="M10" s="16">
        <v>0</v>
      </c>
    </row>
    <row r="11" spans="2:13" x14ac:dyDescent="0.25">
      <c r="B11" s="27">
        <v>3</v>
      </c>
      <c r="C11" s="28" t="s">
        <v>238</v>
      </c>
      <c r="D11" s="29">
        <f>SUM(D12:D14)</f>
        <v>0</v>
      </c>
      <c r="E11" s="29">
        <f>SUM(E12:E14)</f>
        <v>0</v>
      </c>
      <c r="F11" s="30" t="s">
        <v>239</v>
      </c>
      <c r="J11" s="16">
        <f>SUM(J12:J14)</f>
        <v>9</v>
      </c>
      <c r="K11" s="16">
        <f>SUM(K12:K14)</f>
        <v>18</v>
      </c>
      <c r="L11" s="16">
        <f>SUM(L12:L14)</f>
        <v>1.11</v>
      </c>
      <c r="M11" s="16">
        <f>SUM(M12:M14)</f>
        <v>3.77</v>
      </c>
    </row>
    <row r="12" spans="2:13" x14ac:dyDescent="0.25">
      <c r="B12" s="11" t="s">
        <v>42</v>
      </c>
      <c r="C12" s="31" t="s">
        <v>240</v>
      </c>
      <c r="D12" s="32">
        <v>0</v>
      </c>
      <c r="E12" s="32">
        <v>0</v>
      </c>
      <c r="F12" s="9" t="s">
        <v>241</v>
      </c>
      <c r="G12" t="s">
        <v>146</v>
      </c>
      <c r="H12" t="s">
        <v>242</v>
      </c>
      <c r="I12" t="s">
        <v>243</v>
      </c>
      <c r="J12" s="16">
        <v>3</v>
      </c>
      <c r="K12" s="16">
        <v>6</v>
      </c>
      <c r="L12" s="16">
        <v>0.37</v>
      </c>
      <c r="M12" s="16">
        <v>1.26</v>
      </c>
    </row>
    <row r="13" spans="2:13" x14ac:dyDescent="0.25">
      <c r="B13" s="11" t="s">
        <v>42</v>
      </c>
      <c r="C13" s="31" t="s">
        <v>244</v>
      </c>
      <c r="D13" s="32">
        <v>0</v>
      </c>
      <c r="E13" s="32">
        <v>0</v>
      </c>
      <c r="F13" s="9" t="s">
        <v>245</v>
      </c>
      <c r="G13" t="s">
        <v>146</v>
      </c>
      <c r="H13" t="s">
        <v>246</v>
      </c>
      <c r="I13" t="s">
        <v>247</v>
      </c>
      <c r="J13" s="16">
        <v>3</v>
      </c>
      <c r="K13" s="16">
        <v>6</v>
      </c>
      <c r="L13" s="16">
        <v>0.37</v>
      </c>
      <c r="M13" s="16">
        <v>1.26</v>
      </c>
    </row>
    <row r="14" spans="2:13" x14ac:dyDescent="0.25">
      <c r="B14" s="11" t="s">
        <v>42</v>
      </c>
      <c r="C14" s="31" t="s">
        <v>248</v>
      </c>
      <c r="D14" s="32">
        <v>0</v>
      </c>
      <c r="E14" s="32">
        <v>0</v>
      </c>
      <c r="F14" s="9" t="s">
        <v>249</v>
      </c>
      <c r="G14" t="s">
        <v>146</v>
      </c>
      <c r="H14" t="s">
        <v>250</v>
      </c>
      <c r="I14" t="s">
        <v>251</v>
      </c>
      <c r="J14" s="16">
        <v>3</v>
      </c>
      <c r="K14" s="16">
        <v>6</v>
      </c>
      <c r="L14" s="16">
        <v>0.37</v>
      </c>
      <c r="M14" s="16">
        <v>1.25</v>
      </c>
    </row>
    <row r="15" spans="2:13" x14ac:dyDescent="0.25">
      <c r="B15" s="27">
        <v>4</v>
      </c>
      <c r="C15" s="28" t="s">
        <v>252</v>
      </c>
      <c r="D15" s="29">
        <f>SUM(D16:D16)</f>
        <v>0</v>
      </c>
      <c r="E15" s="29">
        <f>SUM(E16:E16)</f>
        <v>0</v>
      </c>
      <c r="F15" s="30" t="s">
        <v>253</v>
      </c>
      <c r="J15" s="16">
        <f>SUM(J16:J16)</f>
        <v>6</v>
      </c>
      <c r="K15" s="16">
        <f>SUM(K16:K16)</f>
        <v>10</v>
      </c>
      <c r="L15" s="16">
        <f>SUM(L16:L16)</f>
        <v>0.66</v>
      </c>
      <c r="M15" s="16">
        <f>SUM(M16:M16)</f>
        <v>2.23</v>
      </c>
    </row>
    <row r="16" spans="3:13" x14ac:dyDescent="0.25">
      <c r="C16" s="31" t="s">
        <v>254</v>
      </c>
      <c r="D16" s="32">
        <f>D29</f>
        <v>0</v>
      </c>
      <c r="E16" s="32">
        <f>E29</f>
        <v>0</v>
      </c>
      <c r="J16" s="16">
        <f>J29</f>
        <v>6</v>
      </c>
      <c r="K16" s="16">
        <f>K29</f>
        <v>10</v>
      </c>
      <c r="L16" s="16">
        <f>L29</f>
        <v>0.66</v>
      </c>
      <c r="M16" s="16">
        <f>M29</f>
        <v>2.23</v>
      </c>
    </row>
    <row r="17" spans="2:13" x14ac:dyDescent="0.25">
      <c r="B17" s="27">
        <v>5</v>
      </c>
      <c r="C17" s="28" t="s">
        <v>255</v>
      </c>
      <c r="D17" s="29">
        <v>0</v>
      </c>
      <c r="E17" s="29">
        <v>0</v>
      </c>
      <c r="F17" s="30" t="s">
        <v>256</v>
      </c>
      <c r="J17" s="16">
        <v>0</v>
      </c>
      <c r="K17" s="16">
        <v>0</v>
      </c>
      <c r="L17" s="16">
        <v>0</v>
      </c>
      <c r="M17" s="16">
        <v>0</v>
      </c>
    </row>
    <row r="18" spans="2:13" x14ac:dyDescent="0.25">
      <c r="B18" s="27">
        <v>6</v>
      </c>
      <c r="C18" s="28" t="s">
        <v>257</v>
      </c>
      <c r="D18" s="29">
        <f>SUM(D19:D19)</f>
        <v>0</v>
      </c>
      <c r="E18" s="29">
        <f>SUM(E19:E19)</f>
        <v>0</v>
      </c>
      <c r="F18" s="30" t="s">
        <v>258</v>
      </c>
      <c r="J18" s="16">
        <f>SUM(J19:J19)</f>
        <v>3.9</v>
      </c>
      <c r="K18" s="16">
        <f>SUM(K19:K19)</f>
        <v>7.8</v>
      </c>
      <c r="L18" s="16">
        <f>SUM(L19:L19)</f>
        <v>0.48</v>
      </c>
      <c r="M18" s="16">
        <f>SUM(M19:M19)</f>
        <v>1.63</v>
      </c>
    </row>
    <row r="19" spans="2:13" x14ac:dyDescent="0.25">
      <c r="B19" s="11" t="s">
        <v>42</v>
      </c>
      <c r="C19" s="31" t="s">
        <v>259</v>
      </c>
      <c r="D19" s="32">
        <v>0</v>
      </c>
      <c r="E19" s="32">
        <v>0</v>
      </c>
      <c r="F19" s="9" t="s">
        <v>260</v>
      </c>
      <c r="G19" t="s">
        <v>146</v>
      </c>
      <c r="H19" t="s">
        <v>261</v>
      </c>
      <c r="I19" t="s">
        <v>262</v>
      </c>
      <c r="J19" s="16">
        <v>3.9</v>
      </c>
      <c r="K19" s="16">
        <v>7.8</v>
      </c>
      <c r="L19" s="16">
        <v>0.48</v>
      </c>
      <c r="M19" s="16">
        <v>1.63</v>
      </c>
    </row>
    <row r="20" spans="2:13" x14ac:dyDescent="0.25">
      <c r="B20" s="27">
        <v>7</v>
      </c>
      <c r="C20" s="28" t="s">
        <v>263</v>
      </c>
      <c r="D20" s="29">
        <f>SUM(D21:D21)</f>
        <v>4</v>
      </c>
      <c r="E20" s="29">
        <f>SUM(E21:E21)</f>
        <v>8</v>
      </c>
      <c r="F20" s="30" t="s">
        <v>264</v>
      </c>
      <c r="J20" s="16">
        <f>SUM(J21:J21)</f>
        <v>0</v>
      </c>
      <c r="K20" s="16">
        <f>SUM(K21:K21)</f>
        <v>0</v>
      </c>
      <c r="L20" s="16">
        <f>SUM(L21:L21)</f>
        <v>0</v>
      </c>
      <c r="M20" s="16">
        <f>SUM(M21:M21)</f>
        <v>0</v>
      </c>
    </row>
    <row r="21" spans="2:13" x14ac:dyDescent="0.25">
      <c r="B21" s="11" t="s">
        <v>42</v>
      </c>
      <c r="C21" s="31" t="s">
        <v>265</v>
      </c>
      <c r="D21" s="32">
        <v>4</v>
      </c>
      <c r="E21" s="32">
        <v>8</v>
      </c>
      <c r="F21" s="9" t="s">
        <v>266</v>
      </c>
      <c r="G21" t="s">
        <v>267</v>
      </c>
      <c r="H21" t="s">
        <v>42</v>
      </c>
      <c r="I21" t="s">
        <v>268</v>
      </c>
      <c r="J21" s="16">
        <v>0</v>
      </c>
      <c r="K21" s="16">
        <v>0</v>
      </c>
      <c r="L21" s="16">
        <v>0</v>
      </c>
      <c r="M21" s="16">
        <v>0</v>
      </c>
    </row>
    <row r="22" spans="2:13" x14ac:dyDescent="0.25">
      <c r="B22" s="27">
        <v>8</v>
      </c>
      <c r="C22" s="28" t="s">
        <v>269</v>
      </c>
      <c r="D22" s="29">
        <v>0</v>
      </c>
      <c r="E22" s="29">
        <v>0</v>
      </c>
      <c r="F22" s="30" t="s">
        <v>270</v>
      </c>
      <c r="J22" s="16">
        <v>0</v>
      </c>
      <c r="K22" s="16">
        <v>0</v>
      </c>
      <c r="L22" s="16">
        <v>0</v>
      </c>
      <c r="M22" s="16">
        <v>0</v>
      </c>
    </row>
    <row r="23" spans="2:13" x14ac:dyDescent="0.25">
      <c r="B23" s="33" t="s">
        <v>42</v>
      </c>
      <c r="C23" s="33" t="s">
        <v>271</v>
      </c>
      <c r="D23" s="34">
        <f>D9+D10+D11+D15+D17+D18+D20+D22</f>
        <v>4</v>
      </c>
      <c r="E23" s="34">
        <f>E9+E10+E11+E15+E17+E18+E20+E22</f>
        <v>8</v>
      </c>
      <c r="F23" s="35" t="s">
        <v>272</v>
      </c>
      <c r="J23" s="17">
        <f>J9+J10+J11+J15+J17+J18+J20+J22</f>
        <v>18.9</v>
      </c>
      <c r="K23" s="17">
        <f>K9+K10+K11+K15+K17+K18+K20+K22</f>
        <v>35.8</v>
      </c>
      <c r="L23" s="17">
        <f>L9+L10+L11+L15+L17+L18+L20+L22</f>
        <v>2.25</v>
      </c>
      <c r="M23" s="17">
        <f>M9+M10+M11+M15+M17+M18+M20+M22</f>
        <v>7.63</v>
      </c>
    </row>
    <row r="26" spans="2:13" x14ac:dyDescent="0.25">
      <c r="B26" s="24" t="s">
        <v>131</v>
      </c>
      <c r="C26" s="25" t="s">
        <v>273</v>
      </c>
      <c r="D26" s="26" t="s">
        <v>14</v>
      </c>
      <c r="E26" s="26" t="s">
        <v>15</v>
      </c>
      <c r="F26" s="24" t="s">
        <v>16</v>
      </c>
      <c r="G26" s="24" t="s">
        <v>133</v>
      </c>
      <c r="H26" s="24" t="s">
        <v>134</v>
      </c>
      <c r="I26" s="24" t="s">
        <v>135</v>
      </c>
      <c r="J26" s="24" t="s">
        <v>17</v>
      </c>
      <c r="K26" s="24" t="s">
        <v>18</v>
      </c>
      <c r="L26" s="24" t="s">
        <v>136</v>
      </c>
      <c r="M26" s="24" t="s">
        <v>137</v>
      </c>
    </row>
    <row r="27" spans="3:3" x14ac:dyDescent="0.25">
      <c r="C27" s="28" t="s">
        <v>254</v>
      </c>
    </row>
    <row r="28" spans="2:13" x14ac:dyDescent="0.25">
      <c r="B28" s="11">
        <v>1</v>
      </c>
      <c r="C28" s="31" t="s">
        <v>274</v>
      </c>
      <c r="D28" s="32">
        <v>0</v>
      </c>
      <c r="E28" s="32">
        <v>0</v>
      </c>
      <c r="F28" s="9" t="s">
        <v>275</v>
      </c>
      <c r="G28" t="s">
        <v>146</v>
      </c>
      <c r="H28" t="s">
        <v>276</v>
      </c>
      <c r="I28" t="s">
        <v>277</v>
      </c>
      <c r="J28" s="16">
        <v>6</v>
      </c>
      <c r="K28" s="16">
        <v>10</v>
      </c>
      <c r="L28" s="16">
        <v>0.66</v>
      </c>
      <c r="M28" s="16">
        <v>2.23</v>
      </c>
    </row>
    <row r="29" spans="2:13" x14ac:dyDescent="0.25">
      <c r="B29" s="33" t="s">
        <v>42</v>
      </c>
      <c r="C29" s="33" t="s">
        <v>278</v>
      </c>
      <c r="D29" s="34">
        <f>D28</f>
        <v>0</v>
      </c>
      <c r="E29" s="34">
        <f>E28</f>
        <v>0</v>
      </c>
      <c r="F29" s="35" t="s">
        <v>279</v>
      </c>
      <c r="J29" s="17">
        <f>J28</f>
        <v>6</v>
      </c>
      <c r="K29" s="17">
        <f>K28</f>
        <v>10</v>
      </c>
      <c r="L29" s="17">
        <f>L28</f>
        <v>0.66</v>
      </c>
      <c r="M29" s="17">
        <f>M28</f>
        <v>2.23</v>
      </c>
    </row>
    <row r="32" spans="2:6" x14ac:dyDescent="0.25">
      <c r="B32" s="24" t="s">
        <v>131</v>
      </c>
      <c r="C32" s="25" t="s">
        <v>186</v>
      </c>
      <c r="D32" s="25"/>
      <c r="E32" s="25"/>
      <c r="F32" s="25"/>
    </row>
    <row r="33" spans="2:6" x14ac:dyDescent="0.25">
      <c r="B33" s="11">
        <v>1</v>
      </c>
      <c r="C33" s="31" t="s">
        <v>98</v>
      </c>
      <c r="D33" s="31"/>
      <c r="E33" s="31"/>
      <c r="F33" s="31"/>
    </row>
    <row r="34" spans="2:6" x14ac:dyDescent="0.25">
      <c r="B34" s="11">
        <v>2</v>
      </c>
      <c r="C34" s="31" t="s">
        <v>99</v>
      </c>
      <c r="D34" s="31"/>
      <c r="E34" s="31"/>
      <c r="F34" s="31"/>
    </row>
    <row r="35" spans="2:6" x14ac:dyDescent="0.25">
      <c r="B35" s="11">
        <v>3</v>
      </c>
      <c r="C35" s="31" t="s">
        <v>100</v>
      </c>
      <c r="D35" s="31"/>
      <c r="E35" s="31"/>
      <c r="F35" s="31"/>
    </row>
    <row r="36" spans="2:6" x14ac:dyDescent="0.25">
      <c r="B36" s="11">
        <v>4</v>
      </c>
      <c r="C36" s="31" t="s">
        <v>101</v>
      </c>
      <c r="D36" s="31"/>
      <c r="E36" s="31"/>
      <c r="F36" s="31"/>
    </row>
    <row r="37" spans="2:6" x14ac:dyDescent="0.25">
      <c r="B37" s="11">
        <v>5</v>
      </c>
      <c r="C37" s="31" t="s">
        <v>102</v>
      </c>
      <c r="D37" s="31"/>
      <c r="E37" s="31"/>
      <c r="F37" s="31"/>
    </row>
    <row r="38" spans="2:6" x14ac:dyDescent="0.25">
      <c r="B38" s="11">
        <v>6</v>
      </c>
      <c r="C38" s="31" t="s">
        <v>103</v>
      </c>
      <c r="D38" s="31"/>
      <c r="E38" s="31"/>
      <c r="F38" s="31"/>
    </row>
    <row r="39" spans="2:6" x14ac:dyDescent="0.25">
      <c r="B39" s="11">
        <v>7</v>
      </c>
      <c r="C39" s="31" t="s">
        <v>104</v>
      </c>
      <c r="D39" s="31"/>
      <c r="E39" s="31"/>
      <c r="F39" s="31"/>
    </row>
    <row r="40" spans="2:6" x14ac:dyDescent="0.25">
      <c r="B40" s="11">
        <v>8</v>
      </c>
      <c r="C40" s="31" t="s">
        <v>105</v>
      </c>
      <c r="D40" s="31"/>
      <c r="E40" s="31"/>
      <c r="F40" s="31"/>
    </row>
    <row r="41" spans="2:6" x14ac:dyDescent="0.25">
      <c r="B41" s="11">
        <v>9</v>
      </c>
      <c r="C41" s="31" t="s">
        <v>106</v>
      </c>
      <c r="D41" s="31"/>
      <c r="E41" s="31"/>
      <c r="F41" s="31"/>
    </row>
    <row r="42" spans="2:6" x14ac:dyDescent="0.25">
      <c r="B42" s="11">
        <v>10</v>
      </c>
      <c r="C42" s="31" t="s">
        <v>107</v>
      </c>
      <c r="D42" s="31"/>
      <c r="E42" s="31"/>
      <c r="F42" s="31"/>
    </row>
    <row r="43" spans="2:6" x14ac:dyDescent="0.25">
      <c r="B43" s="11">
        <v>11</v>
      </c>
      <c r="C43" s="31" t="s">
        <v>108</v>
      </c>
      <c r="D43" s="31"/>
      <c r="E43" s="31"/>
      <c r="F43" s="31"/>
    </row>
    <row r="44" spans="2:6" x14ac:dyDescent="0.25">
      <c r="B44" s="11">
        <v>12</v>
      </c>
      <c r="C44" s="31" t="s">
        <v>109</v>
      </c>
      <c r="D44" s="31"/>
      <c r="E44" s="31"/>
      <c r="F44" s="31"/>
    </row>
    <row r="45" spans="2:6" x14ac:dyDescent="0.25">
      <c r="B45" s="11">
        <v>13</v>
      </c>
      <c r="C45" s="31" t="s">
        <v>110</v>
      </c>
      <c r="D45" s="31"/>
      <c r="E45" s="31"/>
      <c r="F45" s="31"/>
    </row>
    <row r="46" spans="2:6" x14ac:dyDescent="0.25">
      <c r="B46" s="11">
        <v>14</v>
      </c>
      <c r="C46" s="31" t="s">
        <v>111</v>
      </c>
      <c r="D46" s="31"/>
      <c r="E46" s="31"/>
      <c r="F46" s="31"/>
    </row>
    <row r="47" spans="2:6" x14ac:dyDescent="0.25">
      <c r="B47" s="11">
        <v>15</v>
      </c>
      <c r="C47" s="31" t="s">
        <v>112</v>
      </c>
      <c r="D47" s="31"/>
      <c r="E47" s="31"/>
      <c r="F47" s="31"/>
    </row>
    <row r="48" spans="2:6" x14ac:dyDescent="0.25">
      <c r="B48" s="11">
        <v>16</v>
      </c>
      <c r="C48" s="31" t="s">
        <v>113</v>
      </c>
      <c r="D48" s="31"/>
      <c r="E48" s="31"/>
      <c r="F48" s="31"/>
    </row>
    <row r="49" spans="2:6" x14ac:dyDescent="0.25">
      <c r="B49" s="11">
        <v>17</v>
      </c>
      <c r="C49" s="31" t="s">
        <v>114</v>
      </c>
      <c r="D49" s="31"/>
      <c r="E49" s="31"/>
      <c r="F49" s="31"/>
    </row>
    <row r="50" spans="2:6" x14ac:dyDescent="0.25">
      <c r="B50" s="11">
        <v>18</v>
      </c>
      <c r="C50" s="31" t="s">
        <v>115</v>
      </c>
      <c r="D50" s="31"/>
      <c r="E50" s="31"/>
      <c r="F50" s="31"/>
    </row>
    <row r="51" spans="2:6" x14ac:dyDescent="0.25">
      <c r="B51" s="11">
        <v>19</v>
      </c>
      <c r="C51" s="31" t="s">
        <v>116</v>
      </c>
      <c r="D51" s="31"/>
      <c r="E51" s="31"/>
      <c r="F51" s="31"/>
    </row>
    <row r="52" spans="2:6" x14ac:dyDescent="0.25">
      <c r="B52" s="11">
        <v>20</v>
      </c>
      <c r="C52" s="31" t="s">
        <v>117</v>
      </c>
      <c r="D52" s="31"/>
      <c r="E52" s="31"/>
      <c r="F52" s="31"/>
    </row>
    <row r="53" spans="2:6" x14ac:dyDescent="0.25">
      <c r="B53" s="11">
        <v>21</v>
      </c>
      <c r="C53" s="31" t="s">
        <v>118</v>
      </c>
      <c r="D53" s="31"/>
      <c r="E53" s="31"/>
      <c r="F53" s="31"/>
    </row>
    <row r="54" spans="2:6" x14ac:dyDescent="0.25">
      <c r="B54" s="11">
        <v>22</v>
      </c>
      <c r="C54" s="31" t="s">
        <v>119</v>
      </c>
      <c r="D54" s="31"/>
      <c r="E54" s="31"/>
      <c r="F54" s="31"/>
    </row>
    <row r="55" spans="2:6" x14ac:dyDescent="0.25">
      <c r="B55" s="11">
        <v>23</v>
      </c>
      <c r="C55" s="31" t="s">
        <v>120</v>
      </c>
      <c r="D55" s="31"/>
      <c r="E55" s="31"/>
      <c r="F55" s="31"/>
    </row>
    <row r="56" spans="2:6" x14ac:dyDescent="0.25">
      <c r="B56" s="11">
        <v>24</v>
      </c>
      <c r="C56" s="31" t="s">
        <v>121</v>
      </c>
      <c r="D56" s="31"/>
      <c r="E56" s="31"/>
      <c r="F56" s="31"/>
    </row>
    <row r="57" spans="2:6" x14ac:dyDescent="0.25">
      <c r="B57" s="11">
        <v>25</v>
      </c>
      <c r="C57" s="31" t="s">
        <v>122</v>
      </c>
      <c r="D57" s="31"/>
      <c r="E57" s="31"/>
      <c r="F57" s="31"/>
    </row>
    <row r="58" spans="2:6" x14ac:dyDescent="0.25">
      <c r="B58" s="11">
        <v>26</v>
      </c>
      <c r="C58" s="31" t="s">
        <v>123</v>
      </c>
      <c r="D58" s="31"/>
      <c r="E58" s="31"/>
      <c r="F58" s="31"/>
    </row>
    <row r="59" spans="2:6" x14ac:dyDescent="0.25">
      <c r="B59" s="11">
        <v>27</v>
      </c>
      <c r="C59" s="31" t="s">
        <v>124</v>
      </c>
      <c r="D59" s="31"/>
      <c r="E59" s="31"/>
      <c r="F59" s="31"/>
    </row>
    <row r="60" spans="2:6" x14ac:dyDescent="0.25">
      <c r="B60" s="11">
        <v>28</v>
      </c>
      <c r="C60" s="31" t="s">
        <v>125</v>
      </c>
      <c r="D60" s="31"/>
      <c r="E60" s="31"/>
      <c r="F60" s="31"/>
    </row>
    <row r="63" spans="2:6" x14ac:dyDescent="0.25">
      <c r="B63" s="24" t="s">
        <v>131</v>
      </c>
      <c r="C63" s="25" t="s">
        <v>187</v>
      </c>
      <c r="D63" s="25"/>
      <c r="E63" s="25"/>
      <c r="F63" s="25"/>
    </row>
    <row r="64" spans="2:6" x14ac:dyDescent="0.25">
      <c r="B64" s="11">
        <v>1</v>
      </c>
      <c r="C64" s="31" t="s">
        <v>188</v>
      </c>
      <c r="D64" s="31"/>
      <c r="E64" s="31"/>
      <c r="F64" s="31"/>
    </row>
    <row r="65" spans="2:6" x14ac:dyDescent="0.25">
      <c r="B65" s="11">
        <v>2</v>
      </c>
      <c r="C65" s="31" t="s">
        <v>280</v>
      </c>
      <c r="D65" s="31"/>
      <c r="E65" s="31"/>
      <c r="F65" s="31"/>
    </row>
  </sheetData>
  <mergeCells count="35">
    <mergeCell ref="B2:F2"/>
    <mergeCell ref="B3:F3"/>
    <mergeCell ref="B4:F4"/>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3:F63"/>
    <mergeCell ref="C64:F64"/>
    <mergeCell ref="C65:F65"/>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57"/>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281</v>
      </c>
      <c r="C2" s="18"/>
      <c r="D2" s="18"/>
      <c r="E2" s="18"/>
      <c r="F2" s="18"/>
    </row>
    <row r="3" spans="2:6" x14ac:dyDescent="0.25">
      <c r="B3" s="19" t="s">
        <v>8</v>
      </c>
      <c r="C3" s="19"/>
      <c r="D3" s="19"/>
      <c r="E3" s="19"/>
      <c r="F3" s="19"/>
    </row>
    <row r="4" spans="2:6" x14ac:dyDescent="0.25">
      <c r="B4" s="20" t="s">
        <v>127</v>
      </c>
      <c r="C4" s="20"/>
      <c r="D4" s="20"/>
      <c r="E4" s="20"/>
      <c r="F4" s="20"/>
    </row>
    <row r="6" spans="3:11" x14ac:dyDescent="0.25">
      <c r="C6" s="21" t="s">
        <v>128</v>
      </c>
      <c r="D6" s="22">
        <f>D12+D17+D22</f>
        <v>2</v>
      </c>
      <c r="E6" s="22">
        <f>E12+E17+E22</f>
        <v>4</v>
      </c>
      <c r="F6" s="23" t="s">
        <v>129</v>
      </c>
      <c r="I6" s="21" t="s">
        <v>130</v>
      </c>
      <c r="J6" s="22">
        <f>J12+J17+J22</f>
        <v>0</v>
      </c>
      <c r="K6" s="22">
        <f>K12+K17+K22</f>
        <v>0</v>
      </c>
    </row>
    <row r="8" spans="2:13" x14ac:dyDescent="0.25">
      <c r="B8" s="24" t="s">
        <v>131</v>
      </c>
      <c r="C8" s="25" t="s">
        <v>132</v>
      </c>
      <c r="D8" s="26" t="s">
        <v>14</v>
      </c>
      <c r="E8" s="26" t="s">
        <v>15</v>
      </c>
      <c r="F8" s="24" t="s">
        <v>16</v>
      </c>
      <c r="G8" s="24" t="s">
        <v>133</v>
      </c>
      <c r="H8" s="24" t="s">
        <v>134</v>
      </c>
      <c r="I8" s="24" t="s">
        <v>135</v>
      </c>
      <c r="J8" s="24" t="s">
        <v>17</v>
      </c>
      <c r="K8" s="24" t="s">
        <v>18</v>
      </c>
      <c r="L8" s="24" t="s">
        <v>136</v>
      </c>
      <c r="M8" s="24" t="s">
        <v>137</v>
      </c>
    </row>
    <row r="9" spans="2:13" x14ac:dyDescent="0.25">
      <c r="B9" s="27">
        <v>1</v>
      </c>
      <c r="C9" s="28" t="s">
        <v>138</v>
      </c>
      <c r="D9" s="29">
        <f>SUM(D10:D10)</f>
        <v>2</v>
      </c>
      <c r="E9" s="29">
        <f>SUM(E10:E10)</f>
        <v>4</v>
      </c>
      <c r="F9" s="30" t="s">
        <v>42</v>
      </c>
      <c r="J9" s="16">
        <f>SUM(J10:J10)</f>
        <v>0</v>
      </c>
      <c r="K9" s="16">
        <f>SUM(K10:K10)</f>
        <v>0</v>
      </c>
      <c r="L9" s="16">
        <f>SUM(L10:L10)</f>
        <v>0</v>
      </c>
      <c r="M9" s="16">
        <f>SUM(M10:M10)</f>
        <v>0</v>
      </c>
    </row>
    <row r="10" spans="2:13" x14ac:dyDescent="0.25">
      <c r="B10" s="11" t="s">
        <v>42</v>
      </c>
      <c r="C10" s="31" t="s">
        <v>282</v>
      </c>
      <c r="D10" s="32">
        <v>2</v>
      </c>
      <c r="E10" s="32">
        <v>4</v>
      </c>
      <c r="F10" s="9" t="s">
        <v>283</v>
      </c>
      <c r="G10" t="s">
        <v>267</v>
      </c>
      <c r="H10" t="s">
        <v>42</v>
      </c>
      <c r="I10" t="s">
        <v>284</v>
      </c>
      <c r="J10" s="16">
        <v>0</v>
      </c>
      <c r="K10" s="16">
        <v>0</v>
      </c>
      <c r="L10" s="16">
        <v>0</v>
      </c>
      <c r="M10" s="16">
        <v>0</v>
      </c>
    </row>
    <row r="12" spans="2:13" x14ac:dyDescent="0.25">
      <c r="B12" s="33" t="s">
        <v>42</v>
      </c>
      <c r="C12" s="33" t="s">
        <v>179</v>
      </c>
      <c r="D12" s="34">
        <f>D9</f>
        <v>2</v>
      </c>
      <c r="E12" s="34">
        <f>E9</f>
        <v>4</v>
      </c>
      <c r="F12" s="35" t="s">
        <v>42</v>
      </c>
      <c r="J12" s="17">
        <f>J9</f>
        <v>0</v>
      </c>
      <c r="K12" s="17">
        <f>K9</f>
        <v>0</v>
      </c>
      <c r="L12" s="17">
        <f>L9</f>
        <v>0</v>
      </c>
      <c r="M12" s="17">
        <f>M9</f>
        <v>0</v>
      </c>
    </row>
    <row r="15" spans="2:13" x14ac:dyDescent="0.25">
      <c r="B15" s="24" t="s">
        <v>131</v>
      </c>
      <c r="C15" s="25" t="s">
        <v>180</v>
      </c>
      <c r="D15" s="26" t="s">
        <v>14</v>
      </c>
      <c r="E15" s="26" t="s">
        <v>15</v>
      </c>
      <c r="F15" s="24" t="s">
        <v>16</v>
      </c>
      <c r="G15" s="24" t="s">
        <v>133</v>
      </c>
      <c r="H15" s="24" t="s">
        <v>134</v>
      </c>
      <c r="I15" s="24" t="s">
        <v>135</v>
      </c>
      <c r="J15" s="24" t="s">
        <v>17</v>
      </c>
      <c r="K15" s="24" t="s">
        <v>18</v>
      </c>
      <c r="L15" s="24" t="s">
        <v>136</v>
      </c>
      <c r="M15" s="24" t="s">
        <v>137</v>
      </c>
    </row>
    <row r="16" spans="2:13" x14ac:dyDescent="0.25">
      <c r="B16" s="11">
        <v>1</v>
      </c>
      <c r="C16" s="31" t="s">
        <v>181</v>
      </c>
      <c r="D16" s="32">
        <v>0</v>
      </c>
      <c r="E16" s="32">
        <v>0</v>
      </c>
      <c r="F16" s="9" t="s">
        <v>42</v>
      </c>
      <c r="J16" s="16">
        <v>0</v>
      </c>
      <c r="K16" s="16">
        <v>0</v>
      </c>
      <c r="L16" s="16">
        <v>0</v>
      </c>
      <c r="M16" s="16">
        <v>0</v>
      </c>
    </row>
    <row r="17" spans="2:13" x14ac:dyDescent="0.25">
      <c r="B17" s="33" t="s">
        <v>42</v>
      </c>
      <c r="C17" s="33" t="s">
        <v>182</v>
      </c>
      <c r="D17" s="34">
        <f>SUM(D16:D16)</f>
        <v>0</v>
      </c>
      <c r="E17" s="34">
        <f>SUM(E16:E16)</f>
        <v>0</v>
      </c>
      <c r="F17" s="35" t="s">
        <v>42</v>
      </c>
      <c r="J17" s="17">
        <f>SUM(J16:J16)</f>
        <v>0</v>
      </c>
      <c r="K17" s="17">
        <f>SUM(K16:K16)</f>
        <v>0</v>
      </c>
      <c r="L17" s="17">
        <f>SUM(L16:L16)</f>
        <v>0</v>
      </c>
      <c r="M17" s="17">
        <f>SUM(M16:M16)</f>
        <v>0</v>
      </c>
    </row>
    <row r="20" spans="2:13" x14ac:dyDescent="0.25">
      <c r="B20" s="24" t="s">
        <v>131</v>
      </c>
      <c r="C20" s="25" t="s">
        <v>183</v>
      </c>
      <c r="D20" s="26" t="s">
        <v>14</v>
      </c>
      <c r="E20" s="26" t="s">
        <v>15</v>
      </c>
      <c r="F20" s="24" t="s">
        <v>16</v>
      </c>
      <c r="G20" s="24" t="s">
        <v>133</v>
      </c>
      <c r="H20" s="24" t="s">
        <v>134</v>
      </c>
      <c r="I20" s="24" t="s">
        <v>135</v>
      </c>
      <c r="J20" s="24" t="s">
        <v>17</v>
      </c>
      <c r="K20" s="24" t="s">
        <v>18</v>
      </c>
      <c r="L20" s="24" t="s">
        <v>136</v>
      </c>
      <c r="M20" s="24" t="s">
        <v>137</v>
      </c>
    </row>
    <row r="21" spans="2:13" x14ac:dyDescent="0.25">
      <c r="B21" s="11">
        <v>1</v>
      </c>
      <c r="C21" s="31" t="s">
        <v>181</v>
      </c>
      <c r="D21" s="32">
        <v>0</v>
      </c>
      <c r="E21" s="32">
        <v>0</v>
      </c>
      <c r="F21" s="9" t="s">
        <v>184</v>
      </c>
      <c r="J21" s="16">
        <v>0</v>
      </c>
      <c r="K21" s="16">
        <v>0</v>
      </c>
      <c r="L21" s="16">
        <v>0</v>
      </c>
      <c r="M21" s="16">
        <v>0</v>
      </c>
    </row>
    <row r="22" spans="2:13" x14ac:dyDescent="0.25">
      <c r="B22" s="33" t="s">
        <v>42</v>
      </c>
      <c r="C22" s="33" t="s">
        <v>185</v>
      </c>
      <c r="D22" s="34">
        <f>SUM(D21:D21)</f>
        <v>0</v>
      </c>
      <c r="E22" s="34">
        <f>SUM(E21:E21)</f>
        <v>0</v>
      </c>
      <c r="F22" s="35" t="s">
        <v>42</v>
      </c>
      <c r="J22" s="17">
        <f>SUM(J21:J21)</f>
        <v>0</v>
      </c>
      <c r="K22" s="17">
        <f>SUM(K21:K21)</f>
        <v>0</v>
      </c>
      <c r="L22" s="17">
        <f>SUM(L21:L21)</f>
        <v>0</v>
      </c>
      <c r="M22" s="17">
        <f>SUM(M21:M21)</f>
        <v>0</v>
      </c>
    </row>
    <row r="25" spans="2:6" x14ac:dyDescent="0.25">
      <c r="B25" s="24" t="s">
        <v>131</v>
      </c>
      <c r="C25" s="25" t="s">
        <v>186</v>
      </c>
      <c r="D25" s="25"/>
      <c r="E25" s="25"/>
      <c r="F25" s="25"/>
    </row>
    <row r="26" spans="2:6" x14ac:dyDescent="0.25">
      <c r="B26" s="11">
        <v>1</v>
      </c>
      <c r="C26" s="31" t="s">
        <v>98</v>
      </c>
      <c r="D26" s="31"/>
      <c r="E26" s="31"/>
      <c r="F26" s="31"/>
    </row>
    <row r="27" spans="2:6" x14ac:dyDescent="0.25">
      <c r="B27" s="11">
        <v>2</v>
      </c>
      <c r="C27" s="31" t="s">
        <v>99</v>
      </c>
      <c r="D27" s="31"/>
      <c r="E27" s="31"/>
      <c r="F27" s="31"/>
    </row>
    <row r="28" spans="2:6" x14ac:dyDescent="0.25">
      <c r="B28" s="11">
        <v>3</v>
      </c>
      <c r="C28" s="31" t="s">
        <v>100</v>
      </c>
      <c r="D28" s="31"/>
      <c r="E28" s="31"/>
      <c r="F28" s="31"/>
    </row>
    <row r="29" spans="2:6" x14ac:dyDescent="0.25">
      <c r="B29" s="11">
        <v>4</v>
      </c>
      <c r="C29" s="31" t="s">
        <v>101</v>
      </c>
      <c r="D29" s="31"/>
      <c r="E29" s="31"/>
      <c r="F29" s="31"/>
    </row>
    <row r="30" spans="2:6" x14ac:dyDescent="0.25">
      <c r="B30" s="11">
        <v>5</v>
      </c>
      <c r="C30" s="31" t="s">
        <v>102</v>
      </c>
      <c r="D30" s="31"/>
      <c r="E30" s="31"/>
      <c r="F30" s="31"/>
    </row>
    <row r="31" spans="2:6" x14ac:dyDescent="0.25">
      <c r="B31" s="11">
        <v>6</v>
      </c>
      <c r="C31" s="31" t="s">
        <v>103</v>
      </c>
      <c r="D31" s="31"/>
      <c r="E31" s="31"/>
      <c r="F31" s="31"/>
    </row>
    <row r="32" spans="2:6" x14ac:dyDescent="0.25">
      <c r="B32" s="11">
        <v>7</v>
      </c>
      <c r="C32" s="31" t="s">
        <v>104</v>
      </c>
      <c r="D32" s="31"/>
      <c r="E32" s="31"/>
      <c r="F32" s="31"/>
    </row>
    <row r="33" spans="2:6" x14ac:dyDescent="0.25">
      <c r="B33" s="11">
        <v>8</v>
      </c>
      <c r="C33" s="31" t="s">
        <v>105</v>
      </c>
      <c r="D33" s="31"/>
      <c r="E33" s="31"/>
      <c r="F33" s="31"/>
    </row>
    <row r="34" spans="2:6" x14ac:dyDescent="0.25">
      <c r="B34" s="11">
        <v>9</v>
      </c>
      <c r="C34" s="31" t="s">
        <v>106</v>
      </c>
      <c r="D34" s="31"/>
      <c r="E34" s="31"/>
      <c r="F34" s="31"/>
    </row>
    <row r="35" spans="2:6" x14ac:dyDescent="0.25">
      <c r="B35" s="11">
        <v>10</v>
      </c>
      <c r="C35" s="31" t="s">
        <v>107</v>
      </c>
      <c r="D35" s="31"/>
      <c r="E35" s="31"/>
      <c r="F35" s="31"/>
    </row>
    <row r="36" spans="2:6" x14ac:dyDescent="0.25">
      <c r="B36" s="11">
        <v>11</v>
      </c>
      <c r="C36" s="31" t="s">
        <v>108</v>
      </c>
      <c r="D36" s="31"/>
      <c r="E36" s="31"/>
      <c r="F36" s="31"/>
    </row>
    <row r="37" spans="2:6" x14ac:dyDescent="0.25">
      <c r="B37" s="11">
        <v>12</v>
      </c>
      <c r="C37" s="31" t="s">
        <v>109</v>
      </c>
      <c r="D37" s="31"/>
      <c r="E37" s="31"/>
      <c r="F37" s="31"/>
    </row>
    <row r="38" spans="2:6" x14ac:dyDescent="0.25">
      <c r="B38" s="11">
        <v>13</v>
      </c>
      <c r="C38" s="31" t="s">
        <v>110</v>
      </c>
      <c r="D38" s="31"/>
      <c r="E38" s="31"/>
      <c r="F38" s="31"/>
    </row>
    <row r="39" spans="2:6" x14ac:dyDescent="0.25">
      <c r="B39" s="11">
        <v>14</v>
      </c>
      <c r="C39" s="31" t="s">
        <v>111</v>
      </c>
      <c r="D39" s="31"/>
      <c r="E39" s="31"/>
      <c r="F39" s="31"/>
    </row>
    <row r="40" spans="2:6" x14ac:dyDescent="0.25">
      <c r="B40" s="11">
        <v>15</v>
      </c>
      <c r="C40" s="31" t="s">
        <v>112</v>
      </c>
      <c r="D40" s="31"/>
      <c r="E40" s="31"/>
      <c r="F40" s="31"/>
    </row>
    <row r="41" spans="2:6" x14ac:dyDescent="0.25">
      <c r="B41" s="11">
        <v>16</v>
      </c>
      <c r="C41" s="31" t="s">
        <v>113</v>
      </c>
      <c r="D41" s="31"/>
      <c r="E41" s="31"/>
      <c r="F41" s="31"/>
    </row>
    <row r="42" spans="2:6" x14ac:dyDescent="0.25">
      <c r="B42" s="11">
        <v>17</v>
      </c>
      <c r="C42" s="31" t="s">
        <v>114</v>
      </c>
      <c r="D42" s="31"/>
      <c r="E42" s="31"/>
      <c r="F42" s="31"/>
    </row>
    <row r="43" spans="2:6" x14ac:dyDescent="0.25">
      <c r="B43" s="11">
        <v>18</v>
      </c>
      <c r="C43" s="31" t="s">
        <v>115</v>
      </c>
      <c r="D43" s="31"/>
      <c r="E43" s="31"/>
      <c r="F43" s="31"/>
    </row>
    <row r="44" spans="2:6" x14ac:dyDescent="0.25">
      <c r="B44" s="11">
        <v>19</v>
      </c>
      <c r="C44" s="31" t="s">
        <v>116</v>
      </c>
      <c r="D44" s="31"/>
      <c r="E44" s="31"/>
      <c r="F44" s="31"/>
    </row>
    <row r="45" spans="2:6" x14ac:dyDescent="0.25">
      <c r="B45" s="11">
        <v>20</v>
      </c>
      <c r="C45" s="31" t="s">
        <v>117</v>
      </c>
      <c r="D45" s="31"/>
      <c r="E45" s="31"/>
      <c r="F45" s="31"/>
    </row>
    <row r="46" spans="2:6" x14ac:dyDescent="0.25">
      <c r="B46" s="11">
        <v>21</v>
      </c>
      <c r="C46" s="31" t="s">
        <v>118</v>
      </c>
      <c r="D46" s="31"/>
      <c r="E46" s="31"/>
      <c r="F46" s="31"/>
    </row>
    <row r="47" spans="2:6" x14ac:dyDescent="0.25">
      <c r="B47" s="11">
        <v>22</v>
      </c>
      <c r="C47" s="31" t="s">
        <v>119</v>
      </c>
      <c r="D47" s="31"/>
      <c r="E47" s="31"/>
      <c r="F47" s="31"/>
    </row>
    <row r="48" spans="2:6" x14ac:dyDescent="0.25">
      <c r="B48" s="11">
        <v>23</v>
      </c>
      <c r="C48" s="31" t="s">
        <v>120</v>
      </c>
      <c r="D48" s="31"/>
      <c r="E48" s="31"/>
      <c r="F48" s="31"/>
    </row>
    <row r="49" spans="2:6" x14ac:dyDescent="0.25">
      <c r="B49" s="11">
        <v>24</v>
      </c>
      <c r="C49" s="31" t="s">
        <v>121</v>
      </c>
      <c r="D49" s="31"/>
      <c r="E49" s="31"/>
      <c r="F49" s="31"/>
    </row>
    <row r="50" spans="2:6" x14ac:dyDescent="0.25">
      <c r="B50" s="11">
        <v>25</v>
      </c>
      <c r="C50" s="31" t="s">
        <v>122</v>
      </c>
      <c r="D50" s="31"/>
      <c r="E50" s="31"/>
      <c r="F50" s="31"/>
    </row>
    <row r="51" spans="2:6" x14ac:dyDescent="0.25">
      <c r="B51" s="11">
        <v>26</v>
      </c>
      <c r="C51" s="31" t="s">
        <v>123</v>
      </c>
      <c r="D51" s="31"/>
      <c r="E51" s="31"/>
      <c r="F51" s="31"/>
    </row>
    <row r="52" spans="2:6" x14ac:dyDescent="0.25">
      <c r="B52" s="11">
        <v>27</v>
      </c>
      <c r="C52" s="31" t="s">
        <v>124</v>
      </c>
      <c r="D52" s="31"/>
      <c r="E52" s="31"/>
      <c r="F52" s="31"/>
    </row>
    <row r="53" spans="2:6" x14ac:dyDescent="0.25">
      <c r="B53" s="11">
        <v>28</v>
      </c>
      <c r="C53" s="31" t="s">
        <v>125</v>
      </c>
      <c r="D53" s="31"/>
      <c r="E53" s="31"/>
      <c r="F53" s="31"/>
    </row>
    <row r="56" spans="2:6" x14ac:dyDescent="0.25">
      <c r="B56" s="24" t="s">
        <v>131</v>
      </c>
      <c r="C56" s="25" t="s">
        <v>187</v>
      </c>
      <c r="D56" s="25"/>
      <c r="E56" s="25"/>
      <c r="F56" s="25"/>
    </row>
    <row r="57" spans="2:6" x14ac:dyDescent="0.25">
      <c r="B57" s="11">
        <v>1</v>
      </c>
      <c r="C57" s="31" t="s">
        <v>188</v>
      </c>
      <c r="D57" s="31"/>
      <c r="E57" s="31"/>
      <c r="F57" s="31"/>
    </row>
  </sheetData>
  <mergeCells count="34">
    <mergeCell ref="B2:F2"/>
    <mergeCell ref="B3:F3"/>
    <mergeCell ref="B4:F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6:F56"/>
    <mergeCell ref="C57:F5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8"/>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285</v>
      </c>
      <c r="C2" s="18"/>
      <c r="D2" s="18"/>
      <c r="E2" s="18"/>
      <c r="F2" s="18"/>
    </row>
    <row r="3" spans="2:6" x14ac:dyDescent="0.25">
      <c r="B3" s="19" t="s">
        <v>8</v>
      </c>
      <c r="C3" s="19"/>
      <c r="D3" s="19"/>
      <c r="E3" s="19"/>
      <c r="F3" s="19"/>
    </row>
    <row r="4" spans="2:6" x14ac:dyDescent="0.25">
      <c r="B4" s="20" t="s">
        <v>127</v>
      </c>
      <c r="C4" s="20"/>
      <c r="D4" s="20"/>
      <c r="E4" s="20"/>
      <c r="F4" s="20"/>
    </row>
    <row r="6" spans="2:2" x14ac:dyDescent="0.25">
      <c r="B6" s="28" t="s">
        <v>286</v>
      </c>
    </row>
    <row r="7" spans="2:2" x14ac:dyDescent="0.25">
      <c r="B7" s="36" t="s">
        <v>194</v>
      </c>
    </row>
    <row r="8" spans="2:13" x14ac:dyDescent="0.25">
      <c r="B8" s="24" t="s">
        <v>131</v>
      </c>
      <c r="C8" s="25" t="s">
        <v>132</v>
      </c>
      <c r="D8" s="26" t="s">
        <v>14</v>
      </c>
      <c r="E8" s="26" t="s">
        <v>15</v>
      </c>
      <c r="F8" s="24" t="s">
        <v>16</v>
      </c>
      <c r="G8" s="24" t="s">
        <v>133</v>
      </c>
      <c r="H8" s="24" t="s">
        <v>134</v>
      </c>
      <c r="I8" s="24" t="s">
        <v>135</v>
      </c>
      <c r="J8" s="24" t="s">
        <v>17</v>
      </c>
      <c r="K8" s="24" t="s">
        <v>18</v>
      </c>
      <c r="L8" s="24" t="s">
        <v>136</v>
      </c>
      <c r="M8" s="24" t="s">
        <v>137</v>
      </c>
    </row>
    <row r="9" spans="2:13" x14ac:dyDescent="0.25">
      <c r="B9" s="11">
        <v>1</v>
      </c>
      <c r="C9" s="31" t="s">
        <v>181</v>
      </c>
      <c r="D9" s="32">
        <v>0</v>
      </c>
      <c r="E9" s="32">
        <v>0</v>
      </c>
      <c r="F9" s="9" t="s">
        <v>42</v>
      </c>
      <c r="G9" t="s">
        <v>42</v>
      </c>
      <c r="H9" t="s">
        <v>42</v>
      </c>
      <c r="I9" t="s">
        <v>42</v>
      </c>
      <c r="J9" s="16">
        <v>0</v>
      </c>
      <c r="K9" s="16">
        <v>0</v>
      </c>
      <c r="L9" s="16">
        <v>0</v>
      </c>
      <c r="M9" s="16">
        <v>0</v>
      </c>
    </row>
    <row r="10" spans="3:13" x14ac:dyDescent="0.25">
      <c r="C10" s="33" t="s">
        <v>287</v>
      </c>
      <c r="D10" s="34">
        <f>SUM(D9:D9)</f>
        <v>0</v>
      </c>
      <c r="E10" s="34">
        <f>SUM(E9:E9)</f>
        <v>0</v>
      </c>
      <c r="J10" s="17">
        <f>SUM(J9:J9)</f>
        <v>0</v>
      </c>
      <c r="K10" s="17">
        <f>SUM(K9:K9)</f>
        <v>0</v>
      </c>
      <c r="L10" s="17">
        <f>SUM(L9:L9)</f>
        <v>0</v>
      </c>
      <c r="M10" s="17">
        <f>SUM(M9:M9)</f>
        <v>0</v>
      </c>
    </row>
    <row r="13" spans="2:2" x14ac:dyDescent="0.25">
      <c r="B13" s="28" t="s">
        <v>288</v>
      </c>
    </row>
    <row r="14" spans="2:13" x14ac:dyDescent="0.25">
      <c r="B14" s="24" t="s">
        <v>131</v>
      </c>
      <c r="C14" s="25" t="s">
        <v>132</v>
      </c>
      <c r="D14" s="26" t="s">
        <v>14</v>
      </c>
      <c r="E14" s="26" t="s">
        <v>15</v>
      </c>
      <c r="F14" s="24" t="s">
        <v>16</v>
      </c>
      <c r="G14" s="24" t="s">
        <v>133</v>
      </c>
      <c r="H14" s="24" t="s">
        <v>134</v>
      </c>
      <c r="I14" s="24" t="s">
        <v>135</v>
      </c>
      <c r="J14" s="24" t="s">
        <v>17</v>
      </c>
      <c r="K14" s="24" t="s">
        <v>18</v>
      </c>
      <c r="L14" s="24" t="s">
        <v>136</v>
      </c>
      <c r="M14" s="24" t="s">
        <v>137</v>
      </c>
    </row>
    <row r="15" spans="2:13" x14ac:dyDescent="0.25">
      <c r="B15" s="11">
        <v>1</v>
      </c>
      <c r="C15" s="31" t="s">
        <v>289</v>
      </c>
      <c r="D15" s="32">
        <v>4</v>
      </c>
      <c r="E15" s="32">
        <v>8</v>
      </c>
      <c r="F15" s="9" t="s">
        <v>290</v>
      </c>
      <c r="G15" t="s">
        <v>267</v>
      </c>
      <c r="H15" t="s">
        <v>42</v>
      </c>
      <c r="I15" t="s">
        <v>291</v>
      </c>
      <c r="J15" s="16">
        <v>0</v>
      </c>
      <c r="K15" s="16">
        <v>0</v>
      </c>
      <c r="L15" s="16">
        <v>0</v>
      </c>
      <c r="M15" s="16">
        <v>0</v>
      </c>
    </row>
    <row r="16" spans="3:13" x14ac:dyDescent="0.25">
      <c r="C16" s="33" t="s">
        <v>292</v>
      </c>
      <c r="D16" s="34">
        <f>SUM(D15:D15)</f>
        <v>4</v>
      </c>
      <c r="E16" s="34">
        <f>SUM(E15:E15)</f>
        <v>8</v>
      </c>
      <c r="J16" s="17">
        <f>SUM(J15:J15)</f>
        <v>0</v>
      </c>
      <c r="K16" s="17">
        <f>SUM(K15:K15)</f>
        <v>0</v>
      </c>
      <c r="L16" s="17">
        <f>SUM(L15:L15)</f>
        <v>0</v>
      </c>
      <c r="M16" s="17">
        <f>SUM(M15:M15)</f>
        <v>0</v>
      </c>
    </row>
    <row r="19" spans="2:2" x14ac:dyDescent="0.25">
      <c r="B19" s="28" t="s">
        <v>293</v>
      </c>
    </row>
    <row r="20" spans="2:13" x14ac:dyDescent="0.25">
      <c r="B20" s="24" t="s">
        <v>131</v>
      </c>
      <c r="C20" s="25" t="s">
        <v>132</v>
      </c>
      <c r="D20" s="26" t="s">
        <v>14</v>
      </c>
      <c r="E20" s="26" t="s">
        <v>15</v>
      </c>
      <c r="F20" s="24" t="s">
        <v>16</v>
      </c>
      <c r="G20" s="24" t="s">
        <v>133</v>
      </c>
      <c r="H20" s="24" t="s">
        <v>134</v>
      </c>
      <c r="I20" s="24" t="s">
        <v>135</v>
      </c>
      <c r="J20" s="24" t="s">
        <v>17</v>
      </c>
      <c r="K20" s="24" t="s">
        <v>18</v>
      </c>
      <c r="L20" s="24" t="s">
        <v>136</v>
      </c>
      <c r="M20" s="24" t="s">
        <v>137</v>
      </c>
    </row>
    <row r="21" spans="2:13" x14ac:dyDescent="0.25">
      <c r="B21" s="11">
        <v>1</v>
      </c>
      <c r="C21" s="31" t="s">
        <v>294</v>
      </c>
      <c r="D21" s="32">
        <v>0</v>
      </c>
      <c r="E21" s="32">
        <v>0</v>
      </c>
      <c r="F21" s="9" t="s">
        <v>295</v>
      </c>
      <c r="G21" t="s">
        <v>146</v>
      </c>
      <c r="H21" t="s">
        <v>42</v>
      </c>
      <c r="I21" t="s">
        <v>296</v>
      </c>
      <c r="J21" s="16">
        <v>2.88</v>
      </c>
      <c r="K21" s="16">
        <v>5.76</v>
      </c>
      <c r="L21" s="16">
        <v>0.36</v>
      </c>
      <c r="M21" s="16">
        <v>1.2</v>
      </c>
    </row>
    <row r="22" spans="3:13" x14ac:dyDescent="0.25">
      <c r="C22" s="33" t="s">
        <v>297</v>
      </c>
      <c r="D22" s="34">
        <f>SUM(D21:D21)</f>
        <v>0</v>
      </c>
      <c r="E22" s="34">
        <f>SUM(E21:E21)</f>
        <v>0</v>
      </c>
      <c r="J22" s="17">
        <f>SUM(J21:J21)</f>
        <v>2.88</v>
      </c>
      <c r="K22" s="17">
        <f>SUM(K21:K21)</f>
        <v>5.76</v>
      </c>
      <c r="L22" s="17">
        <f>SUM(L21:L21)</f>
        <v>0.36</v>
      </c>
      <c r="M22" s="17">
        <f>SUM(M21:M21)</f>
        <v>1.2</v>
      </c>
    </row>
    <row r="25" spans="2:2" x14ac:dyDescent="0.25">
      <c r="B25" s="28" t="s">
        <v>298</v>
      </c>
    </row>
    <row r="26" spans="2:13" x14ac:dyDescent="0.25">
      <c r="B26" s="24" t="s">
        <v>131</v>
      </c>
      <c r="C26" s="25" t="s">
        <v>132</v>
      </c>
      <c r="D26" s="26" t="s">
        <v>14</v>
      </c>
      <c r="E26" s="26" t="s">
        <v>15</v>
      </c>
      <c r="F26" s="24" t="s">
        <v>16</v>
      </c>
      <c r="G26" s="24" t="s">
        <v>133</v>
      </c>
      <c r="H26" s="24" t="s">
        <v>134</v>
      </c>
      <c r="I26" s="24" t="s">
        <v>135</v>
      </c>
      <c r="J26" s="24" t="s">
        <v>17</v>
      </c>
      <c r="K26" s="24" t="s">
        <v>18</v>
      </c>
      <c r="L26" s="24" t="s">
        <v>136</v>
      </c>
      <c r="M26" s="24" t="s">
        <v>137</v>
      </c>
    </row>
    <row r="27" spans="2:13" x14ac:dyDescent="0.25">
      <c r="B27" s="11">
        <v>1</v>
      </c>
      <c r="C27" s="31" t="s">
        <v>181</v>
      </c>
      <c r="D27" s="32">
        <v>0</v>
      </c>
      <c r="E27" s="32">
        <v>0</v>
      </c>
      <c r="F27" s="9" t="s">
        <v>42</v>
      </c>
      <c r="G27" t="s">
        <v>42</v>
      </c>
      <c r="H27" t="s">
        <v>42</v>
      </c>
      <c r="I27" t="s">
        <v>42</v>
      </c>
      <c r="J27" s="16">
        <v>0</v>
      </c>
      <c r="K27" s="16">
        <v>0</v>
      </c>
      <c r="L27" s="16">
        <v>0</v>
      </c>
      <c r="M27" s="16">
        <v>0</v>
      </c>
    </row>
    <row r="28" spans="3:13" x14ac:dyDescent="0.25">
      <c r="C28" s="33" t="s">
        <v>299</v>
      </c>
      <c r="D28" s="34">
        <f>SUM(D27:D27)</f>
        <v>0</v>
      </c>
      <c r="E28" s="34">
        <f>SUM(E27:E27)</f>
        <v>0</v>
      </c>
      <c r="J28" s="17">
        <f>SUM(J27:J27)</f>
        <v>0</v>
      </c>
      <c r="K28" s="17">
        <f>SUM(K27:K27)</f>
        <v>0</v>
      </c>
      <c r="L28" s="17">
        <f>SUM(L27:L27)</f>
        <v>0</v>
      </c>
      <c r="M28" s="17">
        <f>SUM(M27:M27)</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31"/>
  <sheetViews>
    <sheetView workbookViewId="0">
      <pane ySplit="4" topLeftCell="A5" activePane="bottomLeft" state="frozen"/>
      <selection pane="bottomLeft"/>
    </sheetView>
  </sheetViews>
  <sheetFormatPr defaultRowHeight="15" outlineLevelRow="0" outlineLevelCol="0" x14ac:dyDescent="55"/>
  <cols>
    <col min="3" max="3" width="46" customWidth="1"/>
    <col min="4" max="4" width="10" customWidth="1"/>
    <col min="5" max="5" width="30" customWidth="1"/>
    <col min="6" max="6" width="10" customWidth="1"/>
    <col min="7" max="7" width="22" customWidth="1"/>
    <col min="8" max="11" width="13" customWidth="1"/>
    <col min="12" max="13" width="12" customWidth="1"/>
  </cols>
  <sheetData>
    <row r="1" spans="2:2" x14ac:dyDescent="0.25">
      <c r="B1" s="37" t="s">
        <v>300</v>
      </c>
    </row>
    <row r="2" spans="2:2" x14ac:dyDescent="0.25">
      <c r="B2" t="s">
        <v>301</v>
      </c>
    </row>
    <row r="4" spans="2:13" x14ac:dyDescent="0.25">
      <c r="B4" s="38" t="s">
        <v>135</v>
      </c>
      <c r="C4" s="38" t="s">
        <v>132</v>
      </c>
      <c r="D4" s="38" t="s">
        <v>302</v>
      </c>
      <c r="E4" s="38" t="s">
        <v>303</v>
      </c>
      <c r="F4" s="38" t="s">
        <v>133</v>
      </c>
      <c r="G4" s="38" t="s">
        <v>134</v>
      </c>
      <c r="H4" s="38" t="s">
        <v>14</v>
      </c>
      <c r="I4" s="38" t="s">
        <v>15</v>
      </c>
      <c r="J4" s="38" t="s">
        <v>17</v>
      </c>
      <c r="K4" s="38" t="s">
        <v>18</v>
      </c>
      <c r="L4" s="38" t="s">
        <v>136</v>
      </c>
      <c r="M4" s="38" t="s">
        <v>137</v>
      </c>
    </row>
    <row r="5" spans="2:13" x14ac:dyDescent="0.25">
      <c r="B5" t="s">
        <v>142</v>
      </c>
      <c r="C5" t="s">
        <v>139</v>
      </c>
      <c r="D5" t="s">
        <v>304</v>
      </c>
      <c r="E5" t="s">
        <v>138</v>
      </c>
      <c r="F5" t="s">
        <v>141</v>
      </c>
      <c r="G5" t="s">
        <v>42</v>
      </c>
      <c r="H5" s="16">
        <v>17.47</v>
      </c>
      <c r="I5" s="16">
        <v>30.58</v>
      </c>
      <c r="J5" s="16">
        <v>17.47</v>
      </c>
      <c r="K5" s="16">
        <v>30.58</v>
      </c>
      <c r="L5" s="16">
        <v>1.99</v>
      </c>
      <c r="M5" s="16">
        <v>6.7</v>
      </c>
    </row>
    <row r="6" spans="2:13" x14ac:dyDescent="0.25">
      <c r="B6" t="s">
        <v>157</v>
      </c>
      <c r="C6" t="s">
        <v>154</v>
      </c>
      <c r="D6" t="s">
        <v>304</v>
      </c>
      <c r="E6" t="s">
        <v>153</v>
      </c>
      <c r="F6" t="s">
        <v>146</v>
      </c>
      <c r="G6" t="s">
        <v>156</v>
      </c>
      <c r="H6" s="16">
        <v>0</v>
      </c>
      <c r="I6" s="16">
        <v>0</v>
      </c>
      <c r="J6" s="16">
        <v>2.16</v>
      </c>
      <c r="K6" s="16">
        <v>4.32</v>
      </c>
      <c r="L6" s="16">
        <v>0.27</v>
      </c>
      <c r="M6" s="16">
        <v>0.9</v>
      </c>
    </row>
    <row r="7" spans="2:13" x14ac:dyDescent="0.25">
      <c r="B7" t="s">
        <v>166</v>
      </c>
      <c r="C7" t="s">
        <v>163</v>
      </c>
      <c r="D7" t="s">
        <v>304</v>
      </c>
      <c r="E7" t="s">
        <v>162</v>
      </c>
      <c r="F7" t="s">
        <v>141</v>
      </c>
      <c r="G7" t="s">
        <v>165</v>
      </c>
      <c r="H7" s="16">
        <v>13.1</v>
      </c>
      <c r="I7" s="16">
        <v>20.97</v>
      </c>
      <c r="J7" s="16">
        <v>13.1</v>
      </c>
      <c r="K7" s="16">
        <v>20.97</v>
      </c>
      <c r="L7" s="16">
        <v>1.41</v>
      </c>
      <c r="M7" s="16">
        <v>4.75</v>
      </c>
    </row>
    <row r="8" spans="2:13" x14ac:dyDescent="0.25">
      <c r="B8" t="s">
        <v>148</v>
      </c>
      <c r="C8" t="s">
        <v>144</v>
      </c>
      <c r="D8" t="s">
        <v>304</v>
      </c>
      <c r="E8" t="s">
        <v>143</v>
      </c>
      <c r="F8" t="s">
        <v>146</v>
      </c>
      <c r="G8" t="s">
        <v>147</v>
      </c>
      <c r="H8" s="16">
        <v>0</v>
      </c>
      <c r="I8" s="16">
        <v>0</v>
      </c>
      <c r="J8" s="16">
        <v>3.9</v>
      </c>
      <c r="K8" s="16">
        <v>7.8</v>
      </c>
      <c r="L8" s="16">
        <v>0.49</v>
      </c>
      <c r="M8" s="16">
        <v>1.63</v>
      </c>
    </row>
    <row r="9" spans="2:13" x14ac:dyDescent="0.25">
      <c r="B9" t="s">
        <v>152</v>
      </c>
      <c r="C9" t="s">
        <v>149</v>
      </c>
      <c r="D9" t="s">
        <v>304</v>
      </c>
      <c r="E9" t="s">
        <v>143</v>
      </c>
      <c r="F9" t="s">
        <v>146</v>
      </c>
      <c r="G9" t="s">
        <v>151</v>
      </c>
      <c r="H9" s="16">
        <v>0</v>
      </c>
      <c r="I9" s="16">
        <v>0</v>
      </c>
      <c r="J9" s="16">
        <v>1.62</v>
      </c>
      <c r="K9" s="16">
        <v>3.24</v>
      </c>
      <c r="L9" s="16">
        <v>0.2</v>
      </c>
      <c r="M9" s="16">
        <v>0.68</v>
      </c>
    </row>
    <row r="10" spans="2:13" x14ac:dyDescent="0.25">
      <c r="B10" t="s">
        <v>161</v>
      </c>
      <c r="C10" t="s">
        <v>158</v>
      </c>
      <c r="D10" t="s">
        <v>304</v>
      </c>
      <c r="E10" t="s">
        <v>153</v>
      </c>
      <c r="F10" t="s">
        <v>146</v>
      </c>
      <c r="G10" t="s">
        <v>160</v>
      </c>
      <c r="H10" s="16">
        <v>0</v>
      </c>
      <c r="I10" s="16">
        <v>0</v>
      </c>
      <c r="J10" s="16">
        <v>12.8</v>
      </c>
      <c r="K10" s="16">
        <v>22.4</v>
      </c>
      <c r="L10" s="16">
        <v>1.46</v>
      </c>
      <c r="M10" s="16">
        <v>4.91</v>
      </c>
    </row>
    <row r="11" spans="2:13" x14ac:dyDescent="0.25">
      <c r="B11" t="s">
        <v>170</v>
      </c>
      <c r="C11" t="s">
        <v>167</v>
      </c>
      <c r="D11" t="s">
        <v>304</v>
      </c>
      <c r="E11" t="s">
        <v>162</v>
      </c>
      <c r="F11" t="s">
        <v>146</v>
      </c>
      <c r="G11" t="s">
        <v>169</v>
      </c>
      <c r="H11" s="16">
        <v>0</v>
      </c>
      <c r="I11" s="16">
        <v>0</v>
      </c>
      <c r="J11" s="16">
        <v>2.7</v>
      </c>
      <c r="K11" s="16">
        <v>5.4</v>
      </c>
      <c r="L11" s="16">
        <v>0.34</v>
      </c>
      <c r="M11" s="16">
        <v>1.13</v>
      </c>
    </row>
    <row r="12" spans="2:13" x14ac:dyDescent="0.25">
      <c r="B12" t="s">
        <v>174</v>
      </c>
      <c r="C12" t="s">
        <v>171</v>
      </c>
      <c r="D12" t="s">
        <v>304</v>
      </c>
      <c r="E12" t="s">
        <v>162</v>
      </c>
      <c r="F12" t="s">
        <v>146</v>
      </c>
      <c r="G12" t="s">
        <v>173</v>
      </c>
      <c r="H12" s="16">
        <v>0</v>
      </c>
      <c r="I12" s="16">
        <v>0</v>
      </c>
      <c r="J12" s="16">
        <v>1.62</v>
      </c>
      <c r="K12" s="16">
        <v>3.24</v>
      </c>
      <c r="L12" s="16">
        <v>0.2</v>
      </c>
      <c r="M12" s="16">
        <v>0.68</v>
      </c>
    </row>
    <row r="13" spans="2:13" x14ac:dyDescent="0.25">
      <c r="B13" t="s">
        <v>178</v>
      </c>
      <c r="C13" t="s">
        <v>175</v>
      </c>
      <c r="D13" t="s">
        <v>304</v>
      </c>
      <c r="E13" t="s">
        <v>162</v>
      </c>
      <c r="F13" t="s">
        <v>146</v>
      </c>
      <c r="G13" t="s">
        <v>177</v>
      </c>
      <c r="H13" s="16">
        <v>0</v>
      </c>
      <c r="I13" s="16">
        <v>0</v>
      </c>
      <c r="J13" s="16">
        <v>7.21</v>
      </c>
      <c r="K13" s="16">
        <v>12.61</v>
      </c>
      <c r="L13" s="16">
        <v>0.82</v>
      </c>
      <c r="M13" s="16">
        <v>2.76</v>
      </c>
    </row>
    <row r="14" spans="2:13" x14ac:dyDescent="0.25">
      <c r="B14" t="s">
        <v>198</v>
      </c>
      <c r="C14" t="s">
        <v>195</v>
      </c>
      <c r="D14" t="s">
        <v>305</v>
      </c>
      <c r="E14" t="s">
        <v>138</v>
      </c>
      <c r="F14" t="s">
        <v>146</v>
      </c>
      <c r="G14" t="s">
        <v>197</v>
      </c>
      <c r="H14" s="16">
        <v>0</v>
      </c>
      <c r="I14" s="16">
        <v>0</v>
      </c>
      <c r="J14" s="16">
        <v>5.76</v>
      </c>
      <c r="K14" s="16">
        <v>10.08</v>
      </c>
      <c r="L14" s="16">
        <v>0.66</v>
      </c>
      <c r="M14" s="16">
        <v>2.21</v>
      </c>
    </row>
    <row r="15" spans="2:13" x14ac:dyDescent="0.25">
      <c r="B15" t="s">
        <v>210</v>
      </c>
      <c r="C15" t="s">
        <v>207</v>
      </c>
      <c r="D15" t="s">
        <v>305</v>
      </c>
      <c r="E15" t="s">
        <v>206</v>
      </c>
      <c r="F15" t="s">
        <v>146</v>
      </c>
      <c r="G15" t="s">
        <v>209</v>
      </c>
      <c r="H15" s="16">
        <v>0</v>
      </c>
      <c r="I15" s="16">
        <v>0</v>
      </c>
      <c r="J15" s="16">
        <v>7.02</v>
      </c>
      <c r="K15" s="16">
        <v>11.7</v>
      </c>
      <c r="L15" s="16">
        <v>0.78</v>
      </c>
      <c r="M15" s="16">
        <v>2.61</v>
      </c>
    </row>
    <row r="16" spans="2:13" x14ac:dyDescent="0.25">
      <c r="B16" t="s">
        <v>205</v>
      </c>
      <c r="C16" t="s">
        <v>202</v>
      </c>
      <c r="D16" t="s">
        <v>305</v>
      </c>
      <c r="E16" t="s">
        <v>143</v>
      </c>
      <c r="F16" t="s">
        <v>146</v>
      </c>
      <c r="G16" t="s">
        <v>204</v>
      </c>
      <c r="H16" s="16">
        <v>0</v>
      </c>
      <c r="I16" s="16">
        <v>0</v>
      </c>
      <c r="J16" s="16">
        <v>6</v>
      </c>
      <c r="K16" s="16">
        <v>10</v>
      </c>
      <c r="L16" s="16">
        <v>0.66</v>
      </c>
      <c r="M16" s="16">
        <v>2.23</v>
      </c>
    </row>
    <row r="17" spans="2:13" x14ac:dyDescent="0.25">
      <c r="B17" t="s">
        <v>214</v>
      </c>
      <c r="C17" t="s">
        <v>211</v>
      </c>
      <c r="D17" t="s">
        <v>305</v>
      </c>
      <c r="E17" t="s">
        <v>206</v>
      </c>
      <c r="F17" t="s">
        <v>146</v>
      </c>
      <c r="G17" t="s">
        <v>213</v>
      </c>
      <c r="H17" s="16">
        <v>0</v>
      </c>
      <c r="I17" s="16">
        <v>0</v>
      </c>
      <c r="J17" s="16">
        <v>19.6</v>
      </c>
      <c r="K17" s="16">
        <v>30.8</v>
      </c>
      <c r="L17" s="16">
        <v>2.09</v>
      </c>
      <c r="M17" s="16">
        <v>7.03</v>
      </c>
    </row>
    <row r="18" spans="2:13" x14ac:dyDescent="0.25">
      <c r="B18" t="s">
        <v>218</v>
      </c>
      <c r="C18" t="s">
        <v>215</v>
      </c>
      <c r="D18" t="s">
        <v>305</v>
      </c>
      <c r="E18" t="s">
        <v>206</v>
      </c>
      <c r="F18" t="s">
        <v>146</v>
      </c>
      <c r="G18" t="s">
        <v>217</v>
      </c>
      <c r="H18" s="16">
        <v>0</v>
      </c>
      <c r="I18" s="16">
        <v>0</v>
      </c>
      <c r="J18" s="16">
        <v>5.04</v>
      </c>
      <c r="K18" s="16">
        <v>8.4</v>
      </c>
      <c r="L18" s="16">
        <v>0.56</v>
      </c>
      <c r="M18" s="16">
        <v>1.87</v>
      </c>
    </row>
    <row r="19" spans="2:13" x14ac:dyDescent="0.25">
      <c r="B19" t="s">
        <v>222</v>
      </c>
      <c r="C19" t="s">
        <v>219</v>
      </c>
      <c r="D19" t="s">
        <v>305</v>
      </c>
      <c r="E19" t="s">
        <v>162</v>
      </c>
      <c r="F19" t="s">
        <v>146</v>
      </c>
      <c r="G19" t="s">
        <v>221</v>
      </c>
      <c r="H19" s="16">
        <v>0</v>
      </c>
      <c r="I19" s="16">
        <v>0</v>
      </c>
      <c r="J19" s="16">
        <v>8.4</v>
      </c>
      <c r="K19" s="16">
        <v>14</v>
      </c>
      <c r="L19" s="16">
        <v>0.93</v>
      </c>
      <c r="M19" s="16">
        <v>3.12</v>
      </c>
    </row>
    <row r="20" spans="2:13" x14ac:dyDescent="0.25">
      <c r="B20" t="s">
        <v>226</v>
      </c>
      <c r="C20" t="s">
        <v>223</v>
      </c>
      <c r="D20" t="s">
        <v>305</v>
      </c>
      <c r="E20" t="s">
        <v>162</v>
      </c>
      <c r="F20" t="s">
        <v>146</v>
      </c>
      <c r="G20" t="s">
        <v>225</v>
      </c>
      <c r="H20" s="16">
        <v>0</v>
      </c>
      <c r="I20" s="16">
        <v>0</v>
      </c>
      <c r="J20" s="16">
        <v>7</v>
      </c>
      <c r="K20" s="16">
        <v>11.2</v>
      </c>
      <c r="L20" s="16">
        <v>0.75</v>
      </c>
      <c r="M20" s="16">
        <v>2.54</v>
      </c>
    </row>
    <row r="21" spans="2:13" x14ac:dyDescent="0.25">
      <c r="B21" t="s">
        <v>243</v>
      </c>
      <c r="C21" t="s">
        <v>240</v>
      </c>
      <c r="D21" t="s">
        <v>306</v>
      </c>
      <c r="E21" t="s">
        <v>143</v>
      </c>
      <c r="F21" t="s">
        <v>146</v>
      </c>
      <c r="G21" t="s">
        <v>242</v>
      </c>
      <c r="H21" s="16">
        <v>0</v>
      </c>
      <c r="I21" s="16">
        <v>0</v>
      </c>
      <c r="J21" s="16">
        <v>3</v>
      </c>
      <c r="K21" s="16">
        <v>6</v>
      </c>
      <c r="L21" s="16">
        <v>0.37</v>
      </c>
      <c r="M21" s="16">
        <v>1.26</v>
      </c>
    </row>
    <row r="22" spans="2:13" x14ac:dyDescent="0.25">
      <c r="B22" t="s">
        <v>247</v>
      </c>
      <c r="C22" t="s">
        <v>244</v>
      </c>
      <c r="D22" t="s">
        <v>306</v>
      </c>
      <c r="E22" t="s">
        <v>206</v>
      </c>
      <c r="F22" t="s">
        <v>146</v>
      </c>
      <c r="G22" t="s">
        <v>246</v>
      </c>
      <c r="H22" s="16">
        <v>0</v>
      </c>
      <c r="I22" s="16">
        <v>0</v>
      </c>
      <c r="J22" s="16">
        <v>3</v>
      </c>
      <c r="K22" s="16">
        <v>6</v>
      </c>
      <c r="L22" s="16">
        <v>0.37</v>
      </c>
      <c r="M22" s="16">
        <v>1.26</v>
      </c>
    </row>
    <row r="23" spans="2:13" x14ac:dyDescent="0.25">
      <c r="B23" t="s">
        <v>251</v>
      </c>
      <c r="C23" t="s">
        <v>248</v>
      </c>
      <c r="D23" t="s">
        <v>306</v>
      </c>
      <c r="E23" t="s">
        <v>162</v>
      </c>
      <c r="F23" t="s">
        <v>146</v>
      </c>
      <c r="G23" t="s">
        <v>250</v>
      </c>
      <c r="H23" s="16">
        <v>0</v>
      </c>
      <c r="I23" s="16">
        <v>0</v>
      </c>
      <c r="J23" s="16">
        <v>3</v>
      </c>
      <c r="K23" s="16">
        <v>6</v>
      </c>
      <c r="L23" s="16">
        <v>0.37</v>
      </c>
      <c r="M23" s="16">
        <v>1.25</v>
      </c>
    </row>
    <row r="24" spans="2:13" x14ac:dyDescent="0.25">
      <c r="B24" t="s">
        <v>262</v>
      </c>
      <c r="C24" t="s">
        <v>259</v>
      </c>
      <c r="D24" t="s">
        <v>306</v>
      </c>
      <c r="E24" t="s">
        <v>138</v>
      </c>
      <c r="F24" t="s">
        <v>146</v>
      </c>
      <c r="G24" t="s">
        <v>261</v>
      </c>
      <c r="H24" s="16">
        <v>0</v>
      </c>
      <c r="I24" s="16">
        <v>0</v>
      </c>
      <c r="J24" s="16">
        <v>3.9</v>
      </c>
      <c r="K24" s="16">
        <v>7.8</v>
      </c>
      <c r="L24" s="16">
        <v>0.48</v>
      </c>
      <c r="M24" s="16">
        <v>1.63</v>
      </c>
    </row>
    <row r="25" spans="2:13" x14ac:dyDescent="0.25">
      <c r="B25" t="s">
        <v>277</v>
      </c>
      <c r="C25" t="s">
        <v>274</v>
      </c>
      <c r="D25" t="s">
        <v>306</v>
      </c>
      <c r="E25" t="s">
        <v>206</v>
      </c>
      <c r="F25" t="s">
        <v>146</v>
      </c>
      <c r="G25" t="s">
        <v>276</v>
      </c>
      <c r="H25" s="16">
        <v>0</v>
      </c>
      <c r="I25" s="16">
        <v>0</v>
      </c>
      <c r="J25" s="16">
        <v>6</v>
      </c>
      <c r="K25" s="16">
        <v>10</v>
      </c>
      <c r="L25" s="16">
        <v>0.66</v>
      </c>
      <c r="M25" s="16">
        <v>2.23</v>
      </c>
    </row>
    <row r="26" spans="2:13" x14ac:dyDescent="0.25">
      <c r="B26" t="s">
        <v>201</v>
      </c>
      <c r="C26" t="s">
        <v>199</v>
      </c>
      <c r="D26" t="s">
        <v>305</v>
      </c>
      <c r="E26" t="s">
        <v>138</v>
      </c>
      <c r="F26" t="s">
        <v>141</v>
      </c>
      <c r="G26" t="s">
        <v>42</v>
      </c>
      <c r="H26" s="16">
        <v>6.55</v>
      </c>
      <c r="I26" s="16">
        <v>13.1</v>
      </c>
      <c r="J26" s="16">
        <v>6.55</v>
      </c>
      <c r="K26" s="16">
        <v>13.1</v>
      </c>
      <c r="L26" s="16">
        <v>0.81</v>
      </c>
      <c r="M26" s="16">
        <v>2.74</v>
      </c>
    </row>
    <row r="27" spans="2:13" x14ac:dyDescent="0.25">
      <c r="B27" t="s">
        <v>284</v>
      </c>
      <c r="C27" t="s">
        <v>282</v>
      </c>
      <c r="D27" t="s">
        <v>307</v>
      </c>
      <c r="E27" t="s">
        <v>138</v>
      </c>
      <c r="F27" t="s">
        <v>267</v>
      </c>
      <c r="G27" t="s">
        <v>42</v>
      </c>
      <c r="H27" s="16">
        <v>2</v>
      </c>
      <c r="I27" s="16">
        <v>4</v>
      </c>
      <c r="J27" s="16">
        <v>0</v>
      </c>
      <c r="K27" s="16">
        <v>0</v>
      </c>
      <c r="L27" s="16">
        <v>0</v>
      </c>
      <c r="M27" s="16">
        <v>0</v>
      </c>
    </row>
    <row r="28" spans="2:13" x14ac:dyDescent="0.25">
      <c r="B28" t="s">
        <v>268</v>
      </c>
      <c r="C28" t="s">
        <v>265</v>
      </c>
      <c r="D28" t="s">
        <v>306</v>
      </c>
      <c r="E28" t="s">
        <v>138</v>
      </c>
      <c r="F28" t="s">
        <v>267</v>
      </c>
      <c r="G28" t="s">
        <v>42</v>
      </c>
      <c r="H28" s="16">
        <v>4</v>
      </c>
      <c r="I28" s="16">
        <v>8</v>
      </c>
      <c r="J28" s="16">
        <v>0</v>
      </c>
      <c r="K28" s="16">
        <v>0</v>
      </c>
      <c r="L28" s="16">
        <v>0</v>
      </c>
      <c r="M28" s="16">
        <v>0</v>
      </c>
    </row>
    <row r="29" spans="2:13" x14ac:dyDescent="0.25">
      <c r="B29" t="s">
        <v>291</v>
      </c>
      <c r="C29" t="s">
        <v>289</v>
      </c>
      <c r="D29" t="s">
        <v>288</v>
      </c>
      <c r="E29" t="s">
        <v>138</v>
      </c>
      <c r="F29" t="s">
        <v>267</v>
      </c>
      <c r="G29" t="s">
        <v>42</v>
      </c>
      <c r="H29" s="16">
        <v>4</v>
      </c>
      <c r="I29" s="16">
        <v>8</v>
      </c>
      <c r="J29" s="16">
        <v>0</v>
      </c>
      <c r="K29" s="16">
        <v>0</v>
      </c>
      <c r="L29" s="16">
        <v>0</v>
      </c>
      <c r="M29" s="16">
        <v>0</v>
      </c>
    </row>
    <row r="30" spans="2:13" x14ac:dyDescent="0.25">
      <c r="B30" t="s">
        <v>296</v>
      </c>
      <c r="C30" t="s">
        <v>294</v>
      </c>
      <c r="D30" t="s">
        <v>293</v>
      </c>
      <c r="E30" t="s">
        <v>138</v>
      </c>
      <c r="F30" t="s">
        <v>146</v>
      </c>
      <c r="G30" t="s">
        <v>42</v>
      </c>
      <c r="H30" s="16">
        <v>0</v>
      </c>
      <c r="I30" s="16">
        <v>0</v>
      </c>
      <c r="J30" s="16">
        <v>2.88</v>
      </c>
      <c r="K30" s="16">
        <v>5.76</v>
      </c>
      <c r="L30" s="16">
        <v>0.36</v>
      </c>
      <c r="M30" s="16">
        <v>1.2</v>
      </c>
    </row>
    <row r="31" spans="3:13" x14ac:dyDescent="0.25">
      <c r="C31" s="39" t="s">
        <v>308</v>
      </c>
      <c r="H31" s="17">
        <f>SUBTOTAL(9,H5:H30)</f>
        <v>47.12</v>
      </c>
      <c r="I31" s="17">
        <f>SUBTOTAL(9,I5:I30)</f>
        <v>84.65</v>
      </c>
      <c r="J31" s="17">
        <f>SUBTOTAL(9,J5:J30)</f>
        <v>149.73</v>
      </c>
      <c r="K31" s="17">
        <f>SUBTOTAL(9,K5:K30)</f>
        <v>261.4</v>
      </c>
      <c r="L31" s="17">
        <f>SUBTOTAL(9,L5:L30)</f>
        <v>17.03</v>
      </c>
      <c r="M31" s="17">
        <f>SUBTOTAL(9,M5:M30)</f>
        <v>57.32</v>
      </c>
    </row>
  </sheetData>
  <autoFilter ref="B4:M30"/>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FormatPr defaultRowHeight="15" outlineLevelRow="0" outlineLevelCol="0" x14ac:dyDescent="55"/>
  <cols>
    <col min="2" max="2" width="30" customWidth="1"/>
    <col min="3" max="3" width="50" customWidth="1"/>
    <col min="4" max="5" width="12" customWidth="1"/>
  </cols>
  <sheetData>
    <row r="2" spans="2:3" x14ac:dyDescent="0.25">
      <c r="B2" s="39" t="s">
        <v>67</v>
      </c>
      <c r="C2" t="s">
        <v>309</v>
      </c>
    </row>
    <row r="3" spans="2:3" x14ac:dyDescent="0.25">
      <c r="B3" s="39" t="s">
        <v>69</v>
      </c>
      <c r="C3" t="s">
        <v>70</v>
      </c>
    </row>
    <row r="4" spans="2:3" x14ac:dyDescent="0.25">
      <c r="B4" s="39" t="s">
        <v>310</v>
      </c>
      <c r="C4" t="s">
        <v>311</v>
      </c>
    </row>
    <row r="5" spans="2:3" x14ac:dyDescent="0.25">
      <c r="B5" s="39" t="s">
        <v>312</v>
      </c>
      <c r="C5" t="s">
        <v>313</v>
      </c>
    </row>
    <row r="6" spans="2:3" x14ac:dyDescent="0.25">
      <c r="B6" s="39" t="s">
        <v>314</v>
      </c>
      <c r="C6">
        <v>14</v>
      </c>
    </row>
    <row r="7" spans="2:3" x14ac:dyDescent="0.25">
      <c r="B7" s="39" t="s">
        <v>315</v>
      </c>
      <c r="C7">
        <v>9</v>
      </c>
    </row>
    <row r="8" spans="2:3" x14ac:dyDescent="0.25">
      <c r="B8" s="39" t="s">
        <v>316</v>
      </c>
      <c r="C8" t="s">
        <v>317</v>
      </c>
    </row>
    <row r="9" spans="2:3" x14ac:dyDescent="0.25">
      <c r="B9" s="39" t="s">
        <v>318</v>
      </c>
      <c r="C9" t="s">
        <v>319</v>
      </c>
    </row>
    <row r="10" spans="2:3" x14ac:dyDescent="0.25">
      <c r="B10" s="39" t="s">
        <v>320</v>
      </c>
      <c r="C10" t="s">
        <v>321</v>
      </c>
    </row>
    <row r="11" spans="2:3" x14ac:dyDescent="0.25">
      <c r="B11" s="39" t="s">
        <v>322</v>
      </c>
      <c r="C11" t="s">
        <v>323</v>
      </c>
    </row>
    <row r="12" spans="2:3" x14ac:dyDescent="0.25">
      <c r="B12" s="39" t="s">
        <v>92</v>
      </c>
      <c r="C12" t="s">
        <v>93</v>
      </c>
    </row>
    <row r="14" spans="2:5" x14ac:dyDescent="0.25">
      <c r="B14" s="38" t="s">
        <v>324</v>
      </c>
      <c r="C14" s="38" t="s">
        <v>75</v>
      </c>
      <c r="D14" s="38" t="s">
        <v>325</v>
      </c>
      <c r="E14" s="38" t="s">
        <v>326</v>
      </c>
    </row>
    <row r="15" spans="2:5" x14ac:dyDescent="0.25">
      <c r="B15" t="s">
        <v>327</v>
      </c>
      <c r="C15" t="s">
        <v>77</v>
      </c>
      <c r="D15">
        <v>4</v>
      </c>
      <c r="E15">
        <v>0</v>
      </c>
    </row>
    <row r="16" spans="2:5" x14ac:dyDescent="0.25">
      <c r="B16" t="s">
        <v>328</v>
      </c>
      <c r="C16" t="s">
        <v>77</v>
      </c>
      <c r="D16">
        <v>4</v>
      </c>
      <c r="E16">
        <v>0</v>
      </c>
    </row>
    <row r="17" spans="2:5" x14ac:dyDescent="0.25">
      <c r="B17" t="s">
        <v>329</v>
      </c>
      <c r="C17" t="s">
        <v>80</v>
      </c>
      <c r="D17">
        <v>1</v>
      </c>
      <c r="E17">
        <v>0</v>
      </c>
    </row>
    <row r="18" spans="2:5" x14ac:dyDescent="0.25">
      <c r="B18" t="s">
        <v>330</v>
      </c>
      <c r="C18" t="s">
        <v>82</v>
      </c>
      <c r="D18">
        <v>0</v>
      </c>
      <c r="E18">
        <v>3</v>
      </c>
    </row>
    <row r="19" spans="2:5" x14ac:dyDescent="0.25">
      <c r="B19" t="s">
        <v>331</v>
      </c>
      <c r="C19" t="s">
        <v>84</v>
      </c>
      <c r="D19">
        <v>0</v>
      </c>
      <c r="E19">
        <v>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9"/>
  <sheetFormatPr defaultRowHeight="15" outlineLevelRow="0" outlineLevelCol="0" x14ac:dyDescent="55"/>
  <cols>
    <col min="2" max="2" width="10" customWidth="1"/>
    <col min="3" max="3" width="40" customWidth="1"/>
    <col min="4" max="5" width="10" customWidth="1"/>
    <col min="6" max="6" width="60" customWidth="1"/>
  </cols>
  <sheetData>
    <row r="1" spans="2:2" x14ac:dyDescent="0.25">
      <c r="B1" s="37" t="s">
        <v>332</v>
      </c>
    </row>
    <row r="2" spans="2:6" x14ac:dyDescent="0.25">
      <c r="B2" s="38" t="s">
        <v>132</v>
      </c>
      <c r="C2" s="38" t="s">
        <v>333</v>
      </c>
      <c r="D2" s="38" t="s">
        <v>334</v>
      </c>
      <c r="E2" s="38" t="s">
        <v>335</v>
      </c>
      <c r="F2" s="38" t="s">
        <v>336</v>
      </c>
    </row>
    <row r="3" spans="2:6" x14ac:dyDescent="0.25">
      <c r="B3" t="s">
        <v>142</v>
      </c>
      <c r="C3" t="s">
        <v>139</v>
      </c>
      <c r="D3" s="16">
        <v>17.47</v>
      </c>
      <c r="E3" s="16">
        <v>30.58</v>
      </c>
      <c r="F3" t="s">
        <v>337</v>
      </c>
    </row>
    <row r="4" spans="2:6" x14ac:dyDescent="0.25">
      <c r="B4" t="s">
        <v>157</v>
      </c>
      <c r="C4" t="s">
        <v>154</v>
      </c>
      <c r="D4" s="16">
        <v>2.16</v>
      </c>
      <c r="E4" s="16">
        <v>4.32</v>
      </c>
      <c r="F4" t="s">
        <v>338</v>
      </c>
    </row>
    <row r="5" spans="2:6" x14ac:dyDescent="0.25">
      <c r="B5" t="s">
        <v>166</v>
      </c>
      <c r="C5" t="s">
        <v>163</v>
      </c>
      <c r="D5" s="16">
        <v>13.1</v>
      </c>
      <c r="E5" s="16">
        <v>20.97</v>
      </c>
      <c r="F5" t="s">
        <v>339</v>
      </c>
    </row>
    <row r="6" spans="2:6" x14ac:dyDescent="0.25">
      <c r="B6" t="s">
        <v>148</v>
      </c>
      <c r="C6" t="s">
        <v>144</v>
      </c>
      <c r="D6" s="16">
        <v>3.9</v>
      </c>
      <c r="E6" s="16">
        <v>7.8</v>
      </c>
      <c r="F6" t="s">
        <v>340</v>
      </c>
    </row>
    <row r="7" spans="2:6" x14ac:dyDescent="0.25">
      <c r="B7" t="s">
        <v>161</v>
      </c>
      <c r="C7" t="s">
        <v>158</v>
      </c>
      <c r="D7" s="16">
        <v>12.8</v>
      </c>
      <c r="E7" s="16">
        <v>22.4</v>
      </c>
      <c r="F7" t="s">
        <v>341</v>
      </c>
    </row>
    <row r="8" spans="2:6" x14ac:dyDescent="0.25">
      <c r="B8" t="s">
        <v>198</v>
      </c>
      <c r="C8" t="s">
        <v>195</v>
      </c>
      <c r="D8" s="16">
        <v>5.76</v>
      </c>
      <c r="E8" s="16">
        <v>10.08</v>
      </c>
      <c r="F8" t="s">
        <v>342</v>
      </c>
    </row>
    <row r="9" spans="2:6" x14ac:dyDescent="0.25">
      <c r="B9" t="s">
        <v>210</v>
      </c>
      <c r="C9" t="s">
        <v>207</v>
      </c>
      <c r="D9" s="16">
        <v>7.02</v>
      </c>
      <c r="E9" s="16">
        <v>11.7</v>
      </c>
      <c r="F9" t="s">
        <v>343</v>
      </c>
    </row>
    <row r="10" spans="2:6" x14ac:dyDescent="0.25">
      <c r="B10" t="s">
        <v>205</v>
      </c>
      <c r="C10" t="s">
        <v>202</v>
      </c>
      <c r="D10" s="16">
        <v>6</v>
      </c>
      <c r="E10" s="16">
        <v>10</v>
      </c>
      <c r="F10" t="s">
        <v>344</v>
      </c>
    </row>
    <row r="11" spans="2:6" x14ac:dyDescent="0.25">
      <c r="B11" t="s">
        <v>214</v>
      </c>
      <c r="C11" t="s">
        <v>211</v>
      </c>
      <c r="D11" s="16">
        <v>19.6</v>
      </c>
      <c r="E11" s="16">
        <v>30.8</v>
      </c>
      <c r="F11" t="s">
        <v>345</v>
      </c>
    </row>
    <row r="12" spans="2:6" x14ac:dyDescent="0.25">
      <c r="B12" t="s">
        <v>218</v>
      </c>
      <c r="C12" t="s">
        <v>215</v>
      </c>
      <c r="D12" s="16">
        <v>5.04</v>
      </c>
      <c r="E12" s="16">
        <v>8.4</v>
      </c>
      <c r="F12" t="s">
        <v>346</v>
      </c>
    </row>
    <row r="13" spans="2:6" x14ac:dyDescent="0.25">
      <c r="B13" t="s">
        <v>226</v>
      </c>
      <c r="C13" t="s">
        <v>223</v>
      </c>
      <c r="D13" s="16">
        <v>7</v>
      </c>
      <c r="E13" s="16">
        <v>11.2</v>
      </c>
      <c r="F13" t="s">
        <v>347</v>
      </c>
    </row>
    <row r="14" spans="2:6" x14ac:dyDescent="0.25">
      <c r="B14" t="s">
        <v>243</v>
      </c>
      <c r="C14" t="s">
        <v>240</v>
      </c>
      <c r="D14" s="16">
        <v>3</v>
      </c>
      <c r="E14" s="16">
        <v>6</v>
      </c>
      <c r="F14" t="s">
        <v>348</v>
      </c>
    </row>
    <row r="15" spans="2:6" x14ac:dyDescent="0.25">
      <c r="B15" t="s">
        <v>277</v>
      </c>
      <c r="C15" t="s">
        <v>274</v>
      </c>
      <c r="D15" s="16">
        <v>6</v>
      </c>
      <c r="E15" s="16">
        <v>10</v>
      </c>
      <c r="F15" t="s">
        <v>349</v>
      </c>
    </row>
    <row r="16" spans="2:6" x14ac:dyDescent="0.25">
      <c r="B16" t="s">
        <v>201</v>
      </c>
      <c r="C16" t="s">
        <v>199</v>
      </c>
      <c r="D16" s="16">
        <v>6.55</v>
      </c>
      <c r="E16" s="16">
        <v>13.1</v>
      </c>
      <c r="F16" t="s">
        <v>350</v>
      </c>
    </row>
    <row r="17" spans="2:6" x14ac:dyDescent="0.25">
      <c r="B17" t="s">
        <v>284</v>
      </c>
      <c r="C17" t="s">
        <v>282</v>
      </c>
      <c r="D17" s="16">
        <v>2</v>
      </c>
      <c r="E17" s="16">
        <v>4</v>
      </c>
      <c r="F17" t="s">
        <v>351</v>
      </c>
    </row>
    <row r="18" spans="2:6" x14ac:dyDescent="0.25">
      <c r="B18" t="s">
        <v>268</v>
      </c>
      <c r="C18" t="s">
        <v>265</v>
      </c>
      <c r="D18" s="16">
        <v>4</v>
      </c>
      <c r="E18" s="16">
        <v>8</v>
      </c>
      <c r="F18" t="s">
        <v>352</v>
      </c>
    </row>
    <row r="19" spans="2:6" x14ac:dyDescent="0.25">
      <c r="B19" t="s">
        <v>291</v>
      </c>
      <c r="C19" t="s">
        <v>289</v>
      </c>
      <c r="D19" s="16">
        <v>4</v>
      </c>
      <c r="E19" s="16">
        <v>8</v>
      </c>
      <c r="F19" t="s">
        <v>353</v>
      </c>
    </row>
    <row r="20" spans="2:6" x14ac:dyDescent="0.25">
      <c r="B20" t="s">
        <v>296</v>
      </c>
      <c r="C20" t="s">
        <v>294</v>
      </c>
      <c r="D20" s="16">
        <v>2.88</v>
      </c>
      <c r="E20" s="16">
        <v>5.76</v>
      </c>
      <c r="F20" t="s">
        <v>354</v>
      </c>
    </row>
    <row r="23" spans="2:10" x14ac:dyDescent="0.25">
      <c r="B23" s="38" t="s">
        <v>132</v>
      </c>
      <c r="C23" s="38" t="s">
        <v>333</v>
      </c>
      <c r="D23" s="38" t="s">
        <v>355</v>
      </c>
      <c r="E23" s="38" t="s">
        <v>356</v>
      </c>
      <c r="F23" s="38" t="s">
        <v>357</v>
      </c>
      <c r="G23" s="38" t="s">
        <v>334</v>
      </c>
      <c r="H23" s="38" t="s">
        <v>335</v>
      </c>
      <c r="I23" s="38" t="s">
        <v>133</v>
      </c>
      <c r="J23" s="38" t="s">
        <v>358</v>
      </c>
    </row>
    <row r="24" spans="2:10" x14ac:dyDescent="0.25">
      <c r="B24" t="s">
        <v>142</v>
      </c>
      <c r="C24" t="s">
        <v>139</v>
      </c>
      <c r="D24" t="s">
        <v>142</v>
      </c>
      <c r="E24">
        <v>1</v>
      </c>
      <c r="F24" t="s">
        <v>337</v>
      </c>
      <c r="G24" s="16">
        <v>17.47</v>
      </c>
      <c r="H24" s="16">
        <v>30.58</v>
      </c>
      <c r="I24" t="s">
        <v>359</v>
      </c>
      <c r="J24" t="s">
        <v>42</v>
      </c>
    </row>
    <row r="25" spans="2:10" x14ac:dyDescent="0.25">
      <c r="B25" t="s">
        <v>157</v>
      </c>
      <c r="C25" t="s">
        <v>154</v>
      </c>
      <c r="D25" t="s">
        <v>157</v>
      </c>
      <c r="E25">
        <v>1</v>
      </c>
      <c r="F25" t="s">
        <v>338</v>
      </c>
      <c r="G25" s="16">
        <v>2.16</v>
      </c>
      <c r="H25" s="16">
        <v>4.32</v>
      </c>
      <c r="I25" t="s">
        <v>360</v>
      </c>
      <c r="J25" t="s">
        <v>42</v>
      </c>
    </row>
    <row r="26" spans="2:10" x14ac:dyDescent="0.25">
      <c r="B26" t="s">
        <v>166</v>
      </c>
      <c r="C26" t="s">
        <v>163</v>
      </c>
      <c r="D26" t="s">
        <v>166</v>
      </c>
      <c r="E26">
        <v>1</v>
      </c>
      <c r="F26" t="s">
        <v>339</v>
      </c>
      <c r="G26" s="16">
        <v>13.1</v>
      </c>
      <c r="H26" s="16">
        <v>20.97</v>
      </c>
      <c r="I26" t="s">
        <v>359</v>
      </c>
      <c r="J26" t="s">
        <v>42</v>
      </c>
    </row>
    <row r="27" spans="2:10" x14ac:dyDescent="0.25">
      <c r="B27" t="s">
        <v>148</v>
      </c>
      <c r="C27" t="s">
        <v>144</v>
      </c>
      <c r="D27" t="s">
        <v>148</v>
      </c>
      <c r="E27">
        <v>1</v>
      </c>
      <c r="F27" t="s">
        <v>340</v>
      </c>
      <c r="G27" s="16">
        <v>3.9</v>
      </c>
      <c r="H27" s="16">
        <v>7.8</v>
      </c>
      <c r="I27" t="s">
        <v>360</v>
      </c>
      <c r="J27" t="s">
        <v>361</v>
      </c>
    </row>
    <row r="28" spans="2:10" x14ac:dyDescent="0.25">
      <c r="B28" t="s">
        <v>152</v>
      </c>
      <c r="C28" t="s">
        <v>149</v>
      </c>
      <c r="D28" t="s">
        <v>148</v>
      </c>
      <c r="E28">
        <v>0.415</v>
      </c>
      <c r="F28" t="s">
        <v>362</v>
      </c>
      <c r="G28" s="16">
        <v>1.62</v>
      </c>
      <c r="H28" s="16">
        <v>3.24</v>
      </c>
      <c r="I28" t="s">
        <v>360</v>
      </c>
      <c r="J28" t="s">
        <v>361</v>
      </c>
    </row>
    <row r="29" spans="2:10" x14ac:dyDescent="0.25">
      <c r="B29" t="s">
        <v>161</v>
      </c>
      <c r="C29" t="s">
        <v>158</v>
      </c>
      <c r="D29" t="s">
        <v>161</v>
      </c>
      <c r="E29">
        <v>1</v>
      </c>
      <c r="F29" t="s">
        <v>341</v>
      </c>
      <c r="G29" s="16">
        <v>12.8</v>
      </c>
      <c r="H29" s="16">
        <v>22.4</v>
      </c>
      <c r="I29" t="s">
        <v>360</v>
      </c>
      <c r="J29" t="s">
        <v>361</v>
      </c>
    </row>
    <row r="30" spans="2:10" x14ac:dyDescent="0.25">
      <c r="B30" t="s">
        <v>170</v>
      </c>
      <c r="C30" t="s">
        <v>167</v>
      </c>
      <c r="D30" t="s">
        <v>148</v>
      </c>
      <c r="E30">
        <v>0.692</v>
      </c>
      <c r="F30" t="s">
        <v>363</v>
      </c>
      <c r="G30" s="16">
        <v>2.7</v>
      </c>
      <c r="H30" s="16">
        <v>5.4</v>
      </c>
      <c r="I30" t="s">
        <v>360</v>
      </c>
      <c r="J30" t="s">
        <v>42</v>
      </c>
    </row>
    <row r="31" spans="2:10" x14ac:dyDescent="0.25">
      <c r="B31" t="s">
        <v>174</v>
      </c>
      <c r="C31" t="s">
        <v>171</v>
      </c>
      <c r="D31" t="s">
        <v>148</v>
      </c>
      <c r="E31">
        <v>0.415</v>
      </c>
      <c r="F31" t="s">
        <v>364</v>
      </c>
      <c r="G31" s="16">
        <v>1.62</v>
      </c>
      <c r="H31" s="16">
        <v>3.24</v>
      </c>
      <c r="I31" t="s">
        <v>360</v>
      </c>
      <c r="J31" t="s">
        <v>361</v>
      </c>
    </row>
    <row r="32" spans="2:10" x14ac:dyDescent="0.25">
      <c r="B32" t="s">
        <v>178</v>
      </c>
      <c r="C32" t="s">
        <v>175</v>
      </c>
      <c r="D32" t="s">
        <v>161</v>
      </c>
      <c r="E32">
        <v>0.563</v>
      </c>
      <c r="F32" t="s">
        <v>365</v>
      </c>
      <c r="G32" s="16">
        <v>7.21</v>
      </c>
      <c r="H32" s="16">
        <v>12.61</v>
      </c>
      <c r="I32" t="s">
        <v>360</v>
      </c>
      <c r="J32" t="s">
        <v>361</v>
      </c>
    </row>
    <row r="33" spans="2:10" x14ac:dyDescent="0.25">
      <c r="B33" t="s">
        <v>198</v>
      </c>
      <c r="C33" t="s">
        <v>195</v>
      </c>
      <c r="D33" t="s">
        <v>198</v>
      </c>
      <c r="E33">
        <v>1</v>
      </c>
      <c r="F33" t="s">
        <v>342</v>
      </c>
      <c r="G33" s="16">
        <v>5.76</v>
      </c>
      <c r="H33" s="16">
        <v>10.08</v>
      </c>
      <c r="I33" t="s">
        <v>360</v>
      </c>
      <c r="J33" t="s">
        <v>361</v>
      </c>
    </row>
    <row r="34" spans="2:10" x14ac:dyDescent="0.25">
      <c r="B34" t="s">
        <v>210</v>
      </c>
      <c r="C34" t="s">
        <v>207</v>
      </c>
      <c r="D34" t="s">
        <v>210</v>
      </c>
      <c r="E34">
        <v>1</v>
      </c>
      <c r="F34" t="s">
        <v>343</v>
      </c>
      <c r="G34" s="16">
        <v>7.02</v>
      </c>
      <c r="H34" s="16">
        <v>11.7</v>
      </c>
      <c r="I34" t="s">
        <v>360</v>
      </c>
      <c r="J34" t="s">
        <v>42</v>
      </c>
    </row>
    <row r="35" spans="2:10" x14ac:dyDescent="0.25">
      <c r="B35" t="s">
        <v>205</v>
      </c>
      <c r="C35" t="s">
        <v>202</v>
      </c>
      <c r="D35" t="s">
        <v>205</v>
      </c>
      <c r="E35">
        <v>1</v>
      </c>
      <c r="F35" t="s">
        <v>344</v>
      </c>
      <c r="G35" s="16">
        <v>6</v>
      </c>
      <c r="H35" s="16">
        <v>10</v>
      </c>
      <c r="I35" t="s">
        <v>360</v>
      </c>
      <c r="J35" t="s">
        <v>361</v>
      </c>
    </row>
    <row r="36" spans="2:10" x14ac:dyDescent="0.25">
      <c r="B36" t="s">
        <v>214</v>
      </c>
      <c r="C36" t="s">
        <v>211</v>
      </c>
      <c r="D36" t="s">
        <v>214</v>
      </c>
      <c r="E36">
        <v>1</v>
      </c>
      <c r="F36" t="s">
        <v>345</v>
      </c>
      <c r="G36" s="16">
        <v>19.6</v>
      </c>
      <c r="H36" s="16">
        <v>30.8</v>
      </c>
      <c r="I36" t="s">
        <v>360</v>
      </c>
      <c r="J36" t="s">
        <v>42</v>
      </c>
    </row>
    <row r="37" spans="2:10" x14ac:dyDescent="0.25">
      <c r="B37" t="s">
        <v>218</v>
      </c>
      <c r="C37" t="s">
        <v>215</v>
      </c>
      <c r="D37" t="s">
        <v>218</v>
      </c>
      <c r="E37">
        <v>1</v>
      </c>
      <c r="F37" t="s">
        <v>346</v>
      </c>
      <c r="G37" s="16">
        <v>5.04</v>
      </c>
      <c r="H37" s="16">
        <v>8.4</v>
      </c>
      <c r="I37" t="s">
        <v>360</v>
      </c>
      <c r="J37" t="s">
        <v>42</v>
      </c>
    </row>
    <row r="38" spans="2:10" x14ac:dyDescent="0.25">
      <c r="B38" t="s">
        <v>222</v>
      </c>
      <c r="C38" t="s">
        <v>219</v>
      </c>
      <c r="D38" t="s">
        <v>205</v>
      </c>
      <c r="E38">
        <v>1.4</v>
      </c>
      <c r="F38" t="s">
        <v>366</v>
      </c>
      <c r="G38" s="16">
        <v>8.4</v>
      </c>
      <c r="H38" s="16">
        <v>14</v>
      </c>
      <c r="I38" t="s">
        <v>360</v>
      </c>
      <c r="J38" t="s">
        <v>42</v>
      </c>
    </row>
    <row r="39" spans="2:10" x14ac:dyDescent="0.25">
      <c r="B39" t="s">
        <v>226</v>
      </c>
      <c r="C39" t="s">
        <v>223</v>
      </c>
      <c r="D39" t="s">
        <v>226</v>
      </c>
      <c r="E39">
        <v>1</v>
      </c>
      <c r="F39" t="s">
        <v>347</v>
      </c>
      <c r="G39" s="16">
        <v>7</v>
      </c>
      <c r="H39" s="16">
        <v>11.2</v>
      </c>
      <c r="I39" t="s">
        <v>360</v>
      </c>
      <c r="J39" t="s">
        <v>42</v>
      </c>
    </row>
    <row r="40" spans="2:10" x14ac:dyDescent="0.25">
      <c r="B40" t="s">
        <v>243</v>
      </c>
      <c r="C40" t="s">
        <v>240</v>
      </c>
      <c r="D40" t="s">
        <v>243</v>
      </c>
      <c r="E40">
        <v>1</v>
      </c>
      <c r="F40" t="s">
        <v>348</v>
      </c>
      <c r="G40" s="16">
        <v>3</v>
      </c>
      <c r="H40" s="16">
        <v>6</v>
      </c>
      <c r="I40" t="s">
        <v>360</v>
      </c>
      <c r="J40" t="s">
        <v>42</v>
      </c>
    </row>
    <row r="41" spans="2:10" x14ac:dyDescent="0.25">
      <c r="B41" t="s">
        <v>247</v>
      </c>
      <c r="C41" t="s">
        <v>244</v>
      </c>
      <c r="D41" t="s">
        <v>243</v>
      </c>
      <c r="E41">
        <v>1</v>
      </c>
      <c r="F41" t="s">
        <v>367</v>
      </c>
      <c r="G41" s="16">
        <v>3</v>
      </c>
      <c r="H41" s="16">
        <v>6</v>
      </c>
      <c r="I41" t="s">
        <v>360</v>
      </c>
      <c r="J41" t="s">
        <v>42</v>
      </c>
    </row>
    <row r="42" spans="2:10" x14ac:dyDescent="0.25">
      <c r="B42" t="s">
        <v>251</v>
      </c>
      <c r="C42" t="s">
        <v>248</v>
      </c>
      <c r="D42" t="s">
        <v>243</v>
      </c>
      <c r="E42">
        <v>1</v>
      </c>
      <c r="F42" t="s">
        <v>368</v>
      </c>
      <c r="G42" s="16">
        <v>3</v>
      </c>
      <c r="H42" s="16">
        <v>6</v>
      </c>
      <c r="I42" t="s">
        <v>360</v>
      </c>
      <c r="J42" t="s">
        <v>42</v>
      </c>
    </row>
    <row r="43" spans="2:10" x14ac:dyDescent="0.25">
      <c r="B43" t="s">
        <v>262</v>
      </c>
      <c r="C43" t="s">
        <v>259</v>
      </c>
      <c r="D43" t="s">
        <v>243</v>
      </c>
      <c r="E43">
        <v>1.3</v>
      </c>
      <c r="F43" t="s">
        <v>369</v>
      </c>
      <c r="G43" s="16">
        <v>3.9</v>
      </c>
      <c r="H43" s="16">
        <v>7.8</v>
      </c>
      <c r="I43" t="s">
        <v>360</v>
      </c>
      <c r="J43" t="s">
        <v>361</v>
      </c>
    </row>
    <row r="44" spans="2:10" x14ac:dyDescent="0.25">
      <c r="B44" t="s">
        <v>277</v>
      </c>
      <c r="C44" t="s">
        <v>274</v>
      </c>
      <c r="D44" t="s">
        <v>277</v>
      </c>
      <c r="E44">
        <v>1</v>
      </c>
      <c r="F44" t="s">
        <v>349</v>
      </c>
      <c r="G44" s="16">
        <v>6</v>
      </c>
      <c r="H44" s="16">
        <v>10</v>
      </c>
      <c r="I44" t="s">
        <v>360</v>
      </c>
      <c r="J44" t="s">
        <v>42</v>
      </c>
    </row>
    <row r="45" spans="2:10" x14ac:dyDescent="0.25">
      <c r="B45" t="s">
        <v>201</v>
      </c>
      <c r="C45" t="s">
        <v>199</v>
      </c>
      <c r="D45" t="s">
        <v>201</v>
      </c>
      <c r="E45">
        <v>1</v>
      </c>
      <c r="F45" t="s">
        <v>350</v>
      </c>
      <c r="G45" s="16">
        <v>6.55</v>
      </c>
      <c r="H45" s="16">
        <v>13.1</v>
      </c>
      <c r="I45" t="s">
        <v>359</v>
      </c>
      <c r="J45" t="s">
        <v>361</v>
      </c>
    </row>
    <row r="46" spans="2:10" x14ac:dyDescent="0.25">
      <c r="B46" t="s">
        <v>284</v>
      </c>
      <c r="C46" t="s">
        <v>282</v>
      </c>
      <c r="D46" t="s">
        <v>284</v>
      </c>
      <c r="E46">
        <v>1</v>
      </c>
      <c r="F46" t="s">
        <v>351</v>
      </c>
      <c r="G46" s="16">
        <v>2</v>
      </c>
      <c r="H46" s="16">
        <v>4</v>
      </c>
      <c r="I46" t="s">
        <v>370</v>
      </c>
      <c r="J46" t="s">
        <v>42</v>
      </c>
    </row>
    <row r="47" spans="2:10" x14ac:dyDescent="0.25">
      <c r="B47" t="s">
        <v>268</v>
      </c>
      <c r="C47" t="s">
        <v>265</v>
      </c>
      <c r="D47" t="s">
        <v>268</v>
      </c>
      <c r="E47">
        <v>1</v>
      </c>
      <c r="F47" t="s">
        <v>352</v>
      </c>
      <c r="G47" s="16">
        <v>4</v>
      </c>
      <c r="H47" s="16">
        <v>8</v>
      </c>
      <c r="I47" t="s">
        <v>370</v>
      </c>
      <c r="J47" t="s">
        <v>42</v>
      </c>
    </row>
    <row r="48" spans="2:10" x14ac:dyDescent="0.25">
      <c r="B48" t="s">
        <v>291</v>
      </c>
      <c r="C48" t="s">
        <v>289</v>
      </c>
      <c r="D48" t="s">
        <v>291</v>
      </c>
      <c r="E48">
        <v>1</v>
      </c>
      <c r="F48" t="s">
        <v>353</v>
      </c>
      <c r="G48" s="16">
        <v>4</v>
      </c>
      <c r="H48" s="16">
        <v>8</v>
      </c>
      <c r="I48" t="s">
        <v>370</v>
      </c>
      <c r="J48" t="s">
        <v>42</v>
      </c>
    </row>
    <row r="49" spans="2:10" x14ac:dyDescent="0.25">
      <c r="B49" t="s">
        <v>296</v>
      </c>
      <c r="C49" t="s">
        <v>294</v>
      </c>
      <c r="D49" t="s">
        <v>296</v>
      </c>
      <c r="E49">
        <v>1</v>
      </c>
      <c r="F49" t="s">
        <v>354</v>
      </c>
      <c r="G49" s="16">
        <v>2.88</v>
      </c>
      <c r="H49" s="16">
        <v>5.76</v>
      </c>
      <c r="I49" t="s">
        <v>360</v>
      </c>
      <c r="J49" t="s">
        <v>42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3"/>
  <sheetFormatPr defaultRowHeight="15" outlineLevelRow="0" outlineLevelCol="0" x14ac:dyDescent="55"/>
  <cols>
    <col min="2" max="2" width="14" customWidth="1"/>
    <col min="3" max="3" width="50" customWidth="1"/>
    <col min="4" max="4" width="40" customWidth="1"/>
  </cols>
  <sheetData>
    <row r="1" spans="2:2" x14ac:dyDescent="0.25">
      <c r="B1" s="37" t="s">
        <v>371</v>
      </c>
    </row>
    <row r="2" spans="2:4" x14ac:dyDescent="0.25">
      <c r="B2" s="38" t="s">
        <v>372</v>
      </c>
      <c r="C2" s="38" t="s">
        <v>333</v>
      </c>
      <c r="D2" s="38" t="s">
        <v>40</v>
      </c>
    </row>
    <row r="3" spans="2:4" x14ac:dyDescent="0.25">
      <c r="B3" t="s">
        <v>373</v>
      </c>
      <c r="C3" t="s">
        <v>374</v>
      </c>
      <c r="D3" t="s">
        <v>375</v>
      </c>
    </row>
    <row r="4" spans="2:4" x14ac:dyDescent="0.25">
      <c r="B4" t="s">
        <v>376</v>
      </c>
      <c r="C4" t="s">
        <v>377</v>
      </c>
      <c r="D4" t="s">
        <v>378</v>
      </c>
    </row>
    <row r="5" spans="2:4" x14ac:dyDescent="0.25">
      <c r="B5" t="s">
        <v>379</v>
      </c>
      <c r="C5" t="s">
        <v>380</v>
      </c>
      <c r="D5" t="s">
        <v>381</v>
      </c>
    </row>
    <row r="6" spans="2:4" x14ac:dyDescent="0.25">
      <c r="B6" t="s">
        <v>382</v>
      </c>
      <c r="C6" t="s">
        <v>383</v>
      </c>
      <c r="D6" t="s">
        <v>381</v>
      </c>
    </row>
    <row r="7" spans="2:4" x14ac:dyDescent="0.25">
      <c r="B7" t="s">
        <v>384</v>
      </c>
      <c r="C7" t="s">
        <v>385</v>
      </c>
      <c r="D7" t="s">
        <v>381</v>
      </c>
    </row>
    <row r="8" spans="2:4" x14ac:dyDescent="0.25">
      <c r="B8" t="s">
        <v>386</v>
      </c>
      <c r="C8" t="s">
        <v>387</v>
      </c>
      <c r="D8" t="s">
        <v>381</v>
      </c>
    </row>
    <row r="9" spans="2:4" x14ac:dyDescent="0.25">
      <c r="B9" t="s">
        <v>388</v>
      </c>
      <c r="C9" t="s">
        <v>389</v>
      </c>
      <c r="D9" t="s">
        <v>381</v>
      </c>
    </row>
    <row r="10" spans="2:4" x14ac:dyDescent="0.25">
      <c r="B10" t="s">
        <v>390</v>
      </c>
      <c r="C10" t="s">
        <v>391</v>
      </c>
      <c r="D10" t="s">
        <v>392</v>
      </c>
    </row>
    <row r="11" spans="2:4" x14ac:dyDescent="0.25">
      <c r="B11" t="s">
        <v>393</v>
      </c>
      <c r="C11" t="s">
        <v>394</v>
      </c>
      <c r="D11" t="s">
        <v>395</v>
      </c>
    </row>
    <row r="12" spans="2:4" x14ac:dyDescent="0.25">
      <c r="B12" t="s">
        <v>396</v>
      </c>
      <c r="C12" t="s">
        <v>397</v>
      </c>
      <c r="D12" t="s">
        <v>398</v>
      </c>
    </row>
    <row r="13" spans="2:4" x14ac:dyDescent="0.25">
      <c r="B13" t="s">
        <v>399</v>
      </c>
      <c r="C13" t="s">
        <v>400</v>
      </c>
      <c r="D13" t="s">
        <v>401</v>
      </c>
    </row>
    <row r="14" spans="2:4" x14ac:dyDescent="0.25">
      <c r="B14" t="s">
        <v>402</v>
      </c>
      <c r="C14" t="s">
        <v>403</v>
      </c>
      <c r="D14" t="s">
        <v>404</v>
      </c>
    </row>
    <row r="15" spans="2:4" x14ac:dyDescent="0.25">
      <c r="B15" t="s">
        <v>405</v>
      </c>
      <c r="C15" t="s">
        <v>406</v>
      </c>
      <c r="D15" t="s">
        <v>407</v>
      </c>
    </row>
    <row r="16" spans="2:4" x14ac:dyDescent="0.25">
      <c r="B16" t="s">
        <v>408</v>
      </c>
      <c r="C16" t="s">
        <v>409</v>
      </c>
      <c r="D16" t="s">
        <v>410</v>
      </c>
    </row>
    <row r="17" spans="2:4" x14ac:dyDescent="0.25">
      <c r="B17" t="s">
        <v>411</v>
      </c>
      <c r="C17" t="s">
        <v>412</v>
      </c>
      <c r="D17" t="s">
        <v>410</v>
      </c>
    </row>
    <row r="18" spans="2:4" x14ac:dyDescent="0.25">
      <c r="B18" t="s">
        <v>413</v>
      </c>
      <c r="C18" t="s">
        <v>414</v>
      </c>
      <c r="D18" t="s">
        <v>398</v>
      </c>
    </row>
    <row r="19" spans="2:4" x14ac:dyDescent="0.25">
      <c r="B19" t="s">
        <v>415</v>
      </c>
      <c r="C19" t="s">
        <v>416</v>
      </c>
      <c r="D19" t="s">
        <v>417</v>
      </c>
    </row>
    <row r="20" spans="2:4" x14ac:dyDescent="0.25">
      <c r="B20" t="s">
        <v>418</v>
      </c>
      <c r="C20" t="s">
        <v>419</v>
      </c>
      <c r="D20" t="s">
        <v>420</v>
      </c>
    </row>
    <row r="21" spans="2:4" x14ac:dyDescent="0.25">
      <c r="B21" t="s">
        <v>421</v>
      </c>
      <c r="C21" t="s">
        <v>422</v>
      </c>
      <c r="D21" t="s">
        <v>423</v>
      </c>
    </row>
    <row r="22" spans="2:4" x14ac:dyDescent="0.25">
      <c r="B22" t="s">
        <v>424</v>
      </c>
      <c r="C22" t="s">
        <v>425</v>
      </c>
      <c r="D22" t="s">
        <v>426</v>
      </c>
    </row>
    <row r="23" spans="2:4" x14ac:dyDescent="0.25">
      <c r="B23" t="s">
        <v>427</v>
      </c>
      <c r="C23" t="s">
        <v>428</v>
      </c>
      <c r="D23" t="s">
        <v>429</v>
      </c>
    </row>
    <row r="24" spans="2:4" x14ac:dyDescent="0.25">
      <c r="B24" t="s">
        <v>430</v>
      </c>
      <c r="C24" t="s">
        <v>431</v>
      </c>
      <c r="D24" t="s">
        <v>404</v>
      </c>
    </row>
    <row r="25" spans="2:4" x14ac:dyDescent="0.25">
      <c r="B25" t="s">
        <v>432</v>
      </c>
      <c r="C25" t="s">
        <v>433</v>
      </c>
      <c r="D25" t="s">
        <v>434</v>
      </c>
    </row>
    <row r="26" spans="2:4" x14ac:dyDescent="0.25">
      <c r="B26" t="s">
        <v>435</v>
      </c>
      <c r="C26" t="s">
        <v>436</v>
      </c>
      <c r="D26" t="s">
        <v>437</v>
      </c>
    </row>
    <row r="27" spans="2:4" x14ac:dyDescent="0.25">
      <c r="B27" t="s">
        <v>438</v>
      </c>
      <c r="C27" t="s">
        <v>439</v>
      </c>
      <c r="D27" t="s">
        <v>440</v>
      </c>
    </row>
    <row r="28" spans="2:4" x14ac:dyDescent="0.25">
      <c r="B28" t="s">
        <v>441</v>
      </c>
      <c r="C28" t="s">
        <v>442</v>
      </c>
      <c r="D28" t="s">
        <v>443</v>
      </c>
    </row>
    <row r="29" spans="2:4" x14ac:dyDescent="0.25">
      <c r="B29" t="s">
        <v>444</v>
      </c>
      <c r="C29" t="s">
        <v>445</v>
      </c>
      <c r="D29" t="s">
        <v>446</v>
      </c>
    </row>
    <row r="30" spans="2:4" x14ac:dyDescent="0.25">
      <c r="B30" t="s">
        <v>447</v>
      </c>
      <c r="C30" t="s">
        <v>448</v>
      </c>
      <c r="D30" t="s">
        <v>429</v>
      </c>
    </row>
    <row r="31" spans="2:4" x14ac:dyDescent="0.25">
      <c r="B31" t="s">
        <v>449</v>
      </c>
      <c r="C31" t="s">
        <v>450</v>
      </c>
      <c r="D31" t="s">
        <v>451</v>
      </c>
    </row>
    <row r="32" spans="2:4" x14ac:dyDescent="0.25">
      <c r="B32" t="s">
        <v>452</v>
      </c>
      <c r="C32" t="s">
        <v>453</v>
      </c>
      <c r="D32" t="s">
        <v>454</v>
      </c>
    </row>
    <row r="33" spans="2:4" x14ac:dyDescent="0.25">
      <c r="B33" t="s">
        <v>455</v>
      </c>
      <c r="C33" t="s">
        <v>456</v>
      </c>
      <c r="D33" t="s">
        <v>457</v>
      </c>
    </row>
    <row r="34" spans="2:4" x14ac:dyDescent="0.25">
      <c r="B34" t="s">
        <v>458</v>
      </c>
      <c r="C34" t="s">
        <v>459</v>
      </c>
      <c r="D34" t="s">
        <v>401</v>
      </c>
    </row>
    <row r="35" spans="2:4" x14ac:dyDescent="0.25">
      <c r="B35" t="s">
        <v>460</v>
      </c>
      <c r="C35" t="s">
        <v>461</v>
      </c>
      <c r="D35" t="s">
        <v>462</v>
      </c>
    </row>
    <row r="36" spans="2:4" x14ac:dyDescent="0.25">
      <c r="B36" t="s">
        <v>463</v>
      </c>
      <c r="C36" t="s">
        <v>464</v>
      </c>
      <c r="D36" t="s">
        <v>417</v>
      </c>
    </row>
    <row r="37" spans="2:4" x14ac:dyDescent="0.25">
      <c r="B37" t="s">
        <v>465</v>
      </c>
      <c r="C37" t="s">
        <v>466</v>
      </c>
      <c r="D37" t="s">
        <v>381</v>
      </c>
    </row>
    <row r="38" spans="2:4" x14ac:dyDescent="0.25">
      <c r="B38" t="s">
        <v>467</v>
      </c>
      <c r="C38" t="s">
        <v>468</v>
      </c>
      <c r="D38" t="s">
        <v>381</v>
      </c>
    </row>
    <row r="39" spans="2:4" x14ac:dyDescent="0.25">
      <c r="B39" t="s">
        <v>469</v>
      </c>
      <c r="C39" t="s">
        <v>470</v>
      </c>
      <c r="D39" t="s">
        <v>381</v>
      </c>
    </row>
    <row r="40" spans="2:4" x14ac:dyDescent="0.25">
      <c r="B40" t="s">
        <v>151</v>
      </c>
      <c r="C40" t="s">
        <v>471</v>
      </c>
      <c r="D40" t="s">
        <v>472</v>
      </c>
    </row>
    <row r="41" spans="2:4" x14ac:dyDescent="0.25">
      <c r="B41" t="s">
        <v>473</v>
      </c>
      <c r="C41" t="s">
        <v>474</v>
      </c>
      <c r="D41" t="s">
        <v>475</v>
      </c>
    </row>
    <row r="42" spans="2:4" x14ac:dyDescent="0.25">
      <c r="B42" t="s">
        <v>476</v>
      </c>
      <c r="C42" t="s">
        <v>477</v>
      </c>
      <c r="D42" t="s">
        <v>475</v>
      </c>
    </row>
    <row r="43" spans="2:4" x14ac:dyDescent="0.25">
      <c r="B43" t="s">
        <v>478</v>
      </c>
      <c r="C43" t="s">
        <v>479</v>
      </c>
      <c r="D43" t="s">
        <v>480</v>
      </c>
    </row>
    <row r="44" spans="2:4" x14ac:dyDescent="0.25">
      <c r="B44" t="s">
        <v>481</v>
      </c>
      <c r="C44" t="s">
        <v>482</v>
      </c>
      <c r="D44" t="s">
        <v>483</v>
      </c>
    </row>
    <row r="47" spans="2:2" x14ac:dyDescent="0.25">
      <c r="B47" s="39" t="s">
        <v>484</v>
      </c>
    </row>
    <row r="48" spans="2:4" x14ac:dyDescent="0.25">
      <c r="B48" t="s">
        <v>142</v>
      </c>
      <c r="C48" t="s">
        <v>139</v>
      </c>
      <c r="D48" t="s">
        <v>485</v>
      </c>
    </row>
    <row r="49" spans="2:4" x14ac:dyDescent="0.25">
      <c r="B49" t="s">
        <v>201</v>
      </c>
      <c r="C49" t="s">
        <v>199</v>
      </c>
      <c r="D49" t="s">
        <v>486</v>
      </c>
    </row>
    <row r="50" spans="2:4" x14ac:dyDescent="0.25">
      <c r="B50" t="s">
        <v>284</v>
      </c>
      <c r="C50" t="s">
        <v>282</v>
      </c>
      <c r="D50" t="s">
        <v>487</v>
      </c>
    </row>
    <row r="51" spans="2:4" x14ac:dyDescent="0.25">
      <c r="B51" t="s">
        <v>268</v>
      </c>
      <c r="C51" t="s">
        <v>265</v>
      </c>
      <c r="D51" t="s">
        <v>488</v>
      </c>
    </row>
    <row r="52" spans="2:4" x14ac:dyDescent="0.25">
      <c r="B52" t="s">
        <v>291</v>
      </c>
      <c r="C52" t="s">
        <v>289</v>
      </c>
      <c r="D52" t="s">
        <v>489</v>
      </c>
    </row>
    <row r="53" spans="2:4" x14ac:dyDescent="0.25">
      <c r="B53" t="s">
        <v>296</v>
      </c>
      <c r="C53" t="s">
        <v>294</v>
      </c>
      <c r="D53" t="s">
        <v>490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2"/>
  <sheetFormatPr defaultRowHeight="15" outlineLevelRow="0" outlineLevelCol="0" x14ac:dyDescent="55"/>
  <cols>
    <col min="2" max="2" width="42" customWidth="1"/>
    <col min="3" max="4" width="12" customWidth="1"/>
    <col min="5" max="5" width="40" customWidth="1"/>
  </cols>
  <sheetData>
    <row r="1" spans="2:2" x14ac:dyDescent="0.25">
      <c r="B1" s="37" t="s">
        <v>491</v>
      </c>
    </row>
    <row r="2" spans="2:4" x14ac:dyDescent="0.25">
      <c r="B2" s="38" t="s">
        <v>492</v>
      </c>
      <c r="C2" s="38" t="s">
        <v>493</v>
      </c>
      <c r="D2" s="38" t="s">
        <v>494</v>
      </c>
    </row>
    <row r="3" spans="2:4" x14ac:dyDescent="0.25">
      <c r="B3" t="s">
        <v>495</v>
      </c>
      <c r="C3">
        <v>2</v>
      </c>
      <c r="D3">
        <v>5</v>
      </c>
    </row>
    <row r="4" spans="2:4" x14ac:dyDescent="0.25">
      <c r="B4" t="s">
        <v>496</v>
      </c>
      <c r="C4">
        <v>3</v>
      </c>
      <c r="D4">
        <v>8</v>
      </c>
    </row>
    <row r="5" spans="2:4" x14ac:dyDescent="0.25">
      <c r="B5" t="s">
        <v>497</v>
      </c>
      <c r="C5">
        <v>10</v>
      </c>
      <c r="D5">
        <v>20</v>
      </c>
    </row>
    <row r="6" spans="2:4" x14ac:dyDescent="0.25">
      <c r="B6" t="s">
        <v>498</v>
      </c>
      <c r="C6">
        <v>20</v>
      </c>
      <c r="D6">
        <v>40</v>
      </c>
    </row>
    <row r="7" spans="2:4" x14ac:dyDescent="0.25">
      <c r="B7" t="s">
        <v>499</v>
      </c>
      <c r="C7">
        <v>40</v>
      </c>
      <c r="D7">
        <v>90</v>
      </c>
    </row>
    <row r="8" spans="2:4" x14ac:dyDescent="0.25">
      <c r="B8" t="s">
        <v>500</v>
      </c>
      <c r="C8">
        <v>0.05</v>
      </c>
      <c r="D8">
        <v>0.15</v>
      </c>
    </row>
    <row r="9" spans="2:4" x14ac:dyDescent="0.25">
      <c r="B9" t="s">
        <v>501</v>
      </c>
      <c r="C9">
        <v>20</v>
      </c>
      <c r="D9">
        <v>60</v>
      </c>
    </row>
    <row r="10" spans="2:4" x14ac:dyDescent="0.25">
      <c r="B10" t="s">
        <v>502</v>
      </c>
      <c r="C10">
        <v>5</v>
      </c>
      <c r="D10">
        <v>15</v>
      </c>
    </row>
    <row r="11" spans="2:4" x14ac:dyDescent="0.25">
      <c r="B11" t="s">
        <v>503</v>
      </c>
      <c r="C11">
        <v>1.3</v>
      </c>
      <c r="D11">
        <v>1.8</v>
      </c>
    </row>
    <row r="12" spans="2:3" x14ac:dyDescent="0.25">
      <c r="B12" t="s">
        <v>504</v>
      </c>
      <c r="C12">
        <v>0.5</v>
      </c>
    </row>
    <row r="13" spans="2:3" x14ac:dyDescent="0.25">
      <c r="B13" t="s">
        <v>505</v>
      </c>
      <c r="C13">
        <v>2</v>
      </c>
    </row>
    <row r="14" spans="2:3" x14ac:dyDescent="0.25">
      <c r="B14" t="s">
        <v>506</v>
      </c>
      <c r="C14">
        <v>8</v>
      </c>
    </row>
    <row r="15" spans="2:3" x14ac:dyDescent="0.25">
      <c r="B15" t="s">
        <v>63</v>
      </c>
      <c r="C15">
        <v>40</v>
      </c>
    </row>
    <row r="16" spans="2:3" x14ac:dyDescent="0.25">
      <c r="B16" t="s">
        <v>507</v>
      </c>
      <c r="C16">
        <v>1.25</v>
      </c>
    </row>
    <row r="19" spans="2:2" x14ac:dyDescent="0.25">
      <c r="B19" s="39" t="s">
        <v>508</v>
      </c>
    </row>
    <row r="20" spans="2:2" x14ac:dyDescent="0.25">
      <c r="B20" t="s">
        <v>509</v>
      </c>
    </row>
    <row r="22" spans="2:2" x14ac:dyDescent="0.25">
      <c r="B22" t="s">
        <v>510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6"/>
  <sheetFormatPr defaultRowHeight="15" outlineLevelRow="0" outlineLevelCol="0" x14ac:dyDescent="55"/>
  <cols>
    <col min="2" max="2" width="36" customWidth="1"/>
    <col min="3" max="3" width="10" customWidth="1"/>
    <col min="4" max="4" width="90" customWidth="1"/>
  </cols>
  <sheetData>
    <row r="1" spans="2:2" x14ac:dyDescent="0.25">
      <c r="B1" s="37" t="s">
        <v>511</v>
      </c>
    </row>
    <row r="2" spans="2:4" x14ac:dyDescent="0.25">
      <c r="B2" s="38" t="s">
        <v>512</v>
      </c>
      <c r="C2" s="38" t="s">
        <v>513</v>
      </c>
      <c r="D2" s="38" t="s">
        <v>514</v>
      </c>
    </row>
    <row r="3" spans="2:4" x14ac:dyDescent="0.25">
      <c r="B3" t="s">
        <v>515</v>
      </c>
      <c r="C3" t="s">
        <v>516</v>
      </c>
      <c r="D3" t="s">
        <v>517</v>
      </c>
    </row>
    <row r="4" spans="2:4" x14ac:dyDescent="0.25">
      <c r="B4" t="s">
        <v>518</v>
      </c>
      <c r="C4" t="s">
        <v>516</v>
      </c>
      <c r="D4" t="s">
        <v>519</v>
      </c>
    </row>
    <row r="5" spans="2:4" x14ac:dyDescent="0.25">
      <c r="B5" t="s">
        <v>520</v>
      </c>
      <c r="C5" t="s">
        <v>516</v>
      </c>
      <c r="D5" t="s">
        <v>521</v>
      </c>
    </row>
    <row r="6" spans="2:4" x14ac:dyDescent="0.25">
      <c r="B6" t="s">
        <v>522</v>
      </c>
      <c r="C6" t="s">
        <v>516</v>
      </c>
      <c r="D6" t="s">
        <v>523</v>
      </c>
    </row>
    <row r="7" spans="2:4" x14ac:dyDescent="0.25">
      <c r="B7" t="s">
        <v>524</v>
      </c>
      <c r="C7" t="s">
        <v>516</v>
      </c>
      <c r="D7" t="s">
        <v>525</v>
      </c>
    </row>
    <row r="8" spans="2:4" x14ac:dyDescent="0.25">
      <c r="B8" t="s">
        <v>526</v>
      </c>
      <c r="C8" t="s">
        <v>516</v>
      </c>
      <c r="D8" t="s">
        <v>527</v>
      </c>
    </row>
    <row r="9" spans="2:4" x14ac:dyDescent="0.25">
      <c r="B9" t="s">
        <v>528</v>
      </c>
      <c r="C9" t="s">
        <v>516</v>
      </c>
      <c r="D9" t="s">
        <v>529</v>
      </c>
    </row>
    <row r="10" spans="2:4" x14ac:dyDescent="0.25">
      <c r="B10" t="s">
        <v>530</v>
      </c>
      <c r="C10" t="s">
        <v>516</v>
      </c>
      <c r="D10" t="s">
        <v>531</v>
      </c>
    </row>
    <row r="11" spans="2:4" x14ac:dyDescent="0.25">
      <c r="B11" t="s">
        <v>532</v>
      </c>
      <c r="C11" t="s">
        <v>516</v>
      </c>
      <c r="D11" t="s">
        <v>533</v>
      </c>
    </row>
    <row r="14" spans="2:2" x14ac:dyDescent="0.25">
      <c r="B14" s="39" t="s">
        <v>534</v>
      </c>
    </row>
    <row r="15" spans="2:4" x14ac:dyDescent="0.25">
      <c r="B15" s="38" t="s">
        <v>535</v>
      </c>
      <c r="C15" s="38" t="s">
        <v>536</v>
      </c>
      <c r="D15" s="38" t="s">
        <v>537</v>
      </c>
    </row>
    <row r="16" spans="2:2" x14ac:dyDescent="0.25">
      <c r="B16" t="s">
        <v>181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Dev Backend Estimates</vt:lpstr>
      <vt:lpstr>Dev Mobile Estimates</vt:lpstr>
      <vt:lpstr>Dev Web Estimates</vt:lpstr>
      <vt:lpstr>QA Estimates</vt:lpstr>
      <vt:lpstr>Design Estimates</vt:lpstr>
      <vt:lpstr>Other Estimates</vt:lpstr>
      <vt:lpstr>All Tasks</vt:lpstr>
      <vt:lpstr>Confidence</vt:lpstr>
      <vt:lpstr>Anchors</vt:lpstr>
      <vt:lpstr>Traceability</vt:lpstr>
      <vt:lpstr>Parameters</vt:lpstr>
      <vt:lpstr>Gates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Factory</dc:creator>
  <dc:title>Estimation template (styles only)</dc:title>
  <cp:lastModifiedBy>Unknown</cp:lastModifiedBy>
  <dcterms:created xsi:type="dcterms:W3CDTF">2026-09-30T17:16:16Z</dcterms:created>
  <dcterms:modified xsi:type="dcterms:W3CDTF">2026-09-30T17:16:16Z</dcterms:modified>
</cp:coreProperties>
</file>