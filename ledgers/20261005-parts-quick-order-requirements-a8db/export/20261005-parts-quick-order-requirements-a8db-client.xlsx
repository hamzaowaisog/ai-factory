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Dev Backend Estimates" state="visible" r:id="rId5"/>
    <sheet sheetId="3" name="Dev Mobile Estimates" state="visible" r:id="rId6"/>
    <sheet sheetId="4" name="Dev Web Estimates" state="visible" r:id="rId7"/>
    <sheet sheetId="5" name="QA Estimates" state="visible" r:id="rId8"/>
    <sheet sheetId="6" name="Design Estimates" state="visible" r:id="rId9"/>
    <sheet sheetId="7" name="Other Estimates" state="visible" r:id="rId10"/>
    <sheet sheetId="8" name="All Tasks" state="visible" r:id="rId11"/>
  </sheets>
  <calcPr calcId="171027"/>
</workbook>
</file>

<file path=xl/sharedStrings.xml><?xml version="1.0" encoding="utf-8"?>
<sst xmlns="http://schemas.openxmlformats.org/spreadsheetml/2006/main" count="955" uniqueCount="298">
  <si>
    <t>Folio3 Project Estimation</t>
  </si>
  <si>
    <t>Parts Quick Order</t>
  </si>
  <si>
    <t>Summary of Estimates</t>
  </si>
  <si>
    <t>Client Name</t>
  </si>
  <si>
    <t>Demo Garage</t>
  </si>
  <si>
    <t>Project Manager</t>
  </si>
  <si>
    <t>mhamza</t>
  </si>
  <si>
    <t>Date</t>
  </si>
  <si>
    <t>2026-10-05</t>
  </si>
  <si>
    <t>Version</t>
  </si>
  <si>
    <t>1</t>
  </si>
  <si>
    <t>Human effort (in hours)</t>
  </si>
  <si>
    <t>Agent (in hours)</t>
  </si>
  <si>
    <t>Task Summary</t>
  </si>
  <si>
    <t>Human min (h)</t>
  </si>
  <si>
    <t>Human max (h)</t>
  </si>
  <si>
    <t>Comments</t>
  </si>
  <si>
    <t>Agent min (h)</t>
  </si>
  <si>
    <t>Agent max (h)</t>
  </si>
  <si>
    <t>Avg</t>
  </si>
  <si>
    <t>Resources</t>
  </si>
  <si>
    <t>Weeks</t>
  </si>
  <si>
    <t>Backend Development Estimates</t>
  </si>
  <si>
    <t>Grand total of the Backend sheet</t>
  </si>
  <si>
    <t>Mobile Development Estimates</t>
  </si>
  <si>
    <t>Grand total of the Mobile sheet</t>
  </si>
  <si>
    <t>Admin Development Estimates</t>
  </si>
  <si>
    <t>Grand total of the Web / Admin sheet</t>
  </si>
  <si>
    <t>QA Estimates</t>
  </si>
  <si>
    <t>Grand total of the QA sheet</t>
  </si>
  <si>
    <t>GD Estimates</t>
  </si>
  <si>
    <t>Other Estimates sheet</t>
  </si>
  <si>
    <t>PM Estimates</t>
  </si>
  <si>
    <t>PDM Estimates</t>
  </si>
  <si>
    <t>Cross-cutting Estimates</t>
  </si>
  <si>
    <t>Other Estimates sheet: deployment, documentation and the like</t>
  </si>
  <si>
    <t>Design Estimates</t>
  </si>
  <si>
    <t>Counted in the total only when Design is switched on below</t>
  </si>
  <si>
    <t>Total</t>
  </si>
  <si>
    <t>List of Special Considerations, where applicable:</t>
  </si>
  <si>
    <t>Tasks</t>
  </si>
  <si>
    <t>Action</t>
  </si>
  <si>
    <t/>
  </si>
  <si>
    <t>Application type (mobile, desktop, web)</t>
  </si>
  <si>
    <t>Backend + Web</t>
  </si>
  <si>
    <t>From the tracks that have work</t>
  </si>
  <si>
    <t>Platforms/OS supported</t>
  </si>
  <si>
    <t>Not specified</t>
  </si>
  <si>
    <t>Confirm with the client</t>
  </si>
  <si>
    <t>Browsers supported</t>
  </si>
  <si>
    <t>Assumed: The latest two versions of Chrome, Edge, Safari and Firefox.</t>
  </si>
  <si>
    <t>Factory assumption ASM-17, confirm with the client</t>
  </si>
  <si>
    <t>Deployment (cloud, dedicated server, enterprise internal network)</t>
  </si>
  <si>
    <t>Performance, Load requirements</t>
  </si>
  <si>
    <t>Assumed: Up to 1,000 users and 100,000 records in the first year.</t>
  </si>
  <si>
    <t>Factory assumption ASM-16, confirm with the client</t>
  </si>
  <si>
    <t>Security requirements</t>
  </si>
  <si>
    <t>Documentation requirements</t>
  </si>
  <si>
    <t>Other custom?</t>
  </si>
  <si>
    <t>No</t>
  </si>
  <si>
    <t>Parameters</t>
  </si>
  <si>
    <t>Include Design in total</t>
  </si>
  <si>
    <t>Yes</t>
  </si>
  <si>
    <t>Hours per week</t>
  </si>
  <si>
    <t>Feedback rounds</t>
  </si>
  <si>
    <t>Stack chosen by</t>
  </si>
  <si>
    <t>client</t>
  </si>
  <si>
    <t>Delivery model</t>
  </si>
  <si>
    <t>Solely agentic</t>
  </si>
  <si>
    <t>API credit cost (USD)</t>
  </si>
  <si>
    <t>Phase</t>
  </si>
  <si>
    <t>Min ($)</t>
  </si>
  <si>
    <t>Max ($)</t>
  </si>
  <si>
    <t>Based on</t>
  </si>
  <si>
    <t>planning</t>
  </si>
  <si>
    <t>measured: p10-p90 of 4 runs</t>
  </si>
  <si>
    <t>design</t>
  </si>
  <si>
    <t>breakdown-estimate</t>
  </si>
  <si>
    <t>measured: p10-p90 of 1 run</t>
  </si>
  <si>
    <t>build</t>
  </si>
  <si>
    <t>measured: p10-p90 of 3 runs</t>
  </si>
  <si>
    <t>verification</t>
  </si>
  <si>
    <t>measured: p10-p90 of 2 runs</t>
  </si>
  <si>
    <t>API credit cost total</t>
  </si>
  <si>
    <t>Confidence</t>
  </si>
  <si>
    <t>cold-start (14 measured records)</t>
  </si>
  <si>
    <t>Per task</t>
  </si>
  <si>
    <t>API min and max ($) on each task sheet: the task's share of build and verification, by its hours. A human task costs nothing; planning, design, breakdown and estimate are spent once per run.</t>
  </si>
  <si>
    <t>Agent hours</t>
  </si>
  <si>
    <t>The factory's own hours on each task, in J and K of every task sheet and in F and G above. A factory task has agent hours and no human hours; a joint task has both; a human task (client UAT, design approval, PM) has human hours only. Human hours are what people spend and what the totals count.</t>
  </si>
  <si>
    <t>Agent hours basis</t>
  </si>
  <si>
    <t>cold-start: each task's sized hours, a reference size, until this factory has built enough tasks of its class (3 or more)</t>
  </si>
  <si>
    <t>Elapsed time</t>
  </si>
  <si>
    <t>Planning (minutes)</t>
  </si>
  <si>
    <t>Build critical path (days)</t>
  </si>
  <si>
    <t>Assumptions</t>
  </si>
  <si>
    <t>Does the 'Place order' button also need the cart to have at least one line, or is that already covered because checkout is hidden when the cart is empty? → assumed: Covered already: checkout is hidden when the cart is empty, and the API also refuses an order with no lines</t>
  </si>
  <si>
    <t>Does placing (or cancelling) an order change the stock quantity in the existing parts database? → assumed: No: stock is read-only and orders never change it</t>
  </si>
  <si>
    <t>What happens when a cart quantity is more than the current stock (or the part is now out of stock) at the moment the buyer presses 'Place order'? → assumed: The API checks stock again, rejects the order, lowers the affected lines to the stock now available with 'Only n available', and keeps the cart</t>
  </si>
  <si>
    <t>Where is the cart kept? → assumed: In the browser's local storage for the signed-in buyer (kept across page reloads on the same device)</t>
  </si>
  <si>
    <t>How does the API find out which buyer is making a request through the existing company login? → assumed: The API checks the existing company login's session token or cookie and reads the buyer ID from it</t>
  </si>
  <si>
    <t>Nothing in this work moves an order to Packed, Dispatched or Delivered (no admin screens, no integrations). How do statuses change after Placed? → assumed: Staff update the status directly in the database, outside this work; the portal only shows it</t>
  </si>
  <si>
    <t>Which unit price is saved on an order line, and what does the order 'total' include? → assumed: The part's current price when the order is placed; total = subtotal + delivery charge</t>
  </si>
  <si>
    <t>How are 'ORD-' + 6-digit order numbers generated? → assumed: Sequential from a database sequence, zero-padded (ORD-000001)</t>
  </si>
  <si>
    <t>Should the delivery prices (£0 / £9.99), the stock thresholds (5) and the page size (20) be fixed in the code or set in configuration? → assumed: Fixed constants in the code</t>
  </si>
  <si>
    <t>What happens if the order's status changes from Placed (e.g. to Packed) after the buyer opened it but before they confirm cancelling? → assumed: The API cancels only if the status is still Placed; otherwise it refuses, shows a message and refreshes the order</t>
  </si>
  <si>
    <t>What happens if placing an order fails (network or server error)? → assumed: Show an error message, keep the cart and checkout details, and let the buyer try again</t>
  </si>
  <si>
    <t>What happens when a quantity is set to 0, left blank, set above 99, or isn't a whole number? → assumed: Set it to the nearest value in range (blank or 0 becomes 1, above 99 becomes 99)</t>
  </si>
  <si>
    <t>What do 'cart count' in the header and 'number of items' in My orders count? → assumed: The total of all quantities (2 filters + 1 pad = 3)</t>
  </si>
  <si>
    <t>How do the parts list filters and sort order work? → assumed: One category and one brand at a time (each with 'All'), brands taken from the parts data, sorted by name A–Z, back to page 1 whenever the search or a filter changes</t>
  </si>
  <si>
    <t>Is the delivery address remembered from the buyer's previous order? → assumed: No: typed fresh for each order</t>
  </si>
  <si>
    <t>Under what conditions is the 2-second load target measured, and how many buyers and orders are expected? → assumed: Up to 1,000 users and 100,000 records in the first year.</t>
  </si>
  <si>
    <t>Which browsers must be supported? → assumed: The latest two versions of Chrome, Edge, Safari and Firefox.</t>
  </si>
  <si>
    <t>Are orders written to the same PostgreSQL database that holds the existing parts? → assumed: Yes: new orders and order-lines tables in the same database, referring to parts by part number</t>
  </si>
  <si>
    <t>Spec question Q-1: If a part in the cart now has 0 stock, what should happen to that cart line? (One rule says the quantity can never go below 1. Another says it can never go above stock.) → Remove the line and show "&lt;part name&gt; is now out of stock" (assumed by the factory, hands-off)</t>
  </si>
  <si>
    <t>Spec question Q-2: If the buyer retries after a network error but the first order was actually saved, how should we stop the order being placed twice? → Disable "Place order" while a request is in progress, and on a network error tell the buyer to check My orders before retrying (assumed by the factory, hands-off)</t>
  </si>
  <si>
    <t>Spec question Q-3: The cart keeps a saved copy of each price, but orders are charged at the current price. How should the cart handle a price that has changed? → Fetch the current prices from the parts API when the cart opens, and show only those (assumed by the factory, hands-off)</t>
  </si>
  <si>
    <t>Spec question Q-4: Should the spec keep a separate requirement that the API rejects requests with no valid company-login session (status 401)? The request doesn't mention this. → Leave it out and rely on the existing company login as-is (assumed by the factory, hands-off)</t>
  </si>
  <si>
    <t>Spec question Q-5: When the cart opens and the request to the parts API for current prices fails (network or server error), what should the cart show and allow? The saved prices must never be shown. → Show the cart lines without prices or totals, show an error message with a "Try again" button, and hide checkout until current prices load (assumed by the factory, hands-off)</t>
  </si>
  <si>
    <t>Open risk: ASM-26 and AC-41.1 need GET /api/parts filtered to the cart's part numbers in a single call, but REQ-2/4/5 and ASM-19 only define q (at least 2 characters, substring match), category, brand and page, so no defined parameter can fetch exactly the cart's parts.</t>
  </si>
  <si>
    <t>Open risk: When the cart opens, only lines whose part now has 0 stock are handled; a line whose stock has dropped but is still above 0 (cart quantity 5, stock now 2) is left unclamped until the 409 at Place order, and REQ-14's clamp only runs when the buyer edits the quantity.</t>
  </si>
  <si>
    <t>Open risk: The order is charged at the server's current price, but the price can change between cart refresh and Place order; nothing says the buyer is told or asked to confirm, so the saved total can differ from the total on screen (payments risk).</t>
  </si>
  <si>
    <t>Gate time, cost and duration are assumed figures, labelled cold-start until the ledger has measured runs.</t>
  </si>
  <si>
    <t>Split before the build: EST-1, EST-3, EST-6, EST-13 (agent work over 16 h or very large is split into smaller tasks; the hours stay as estimated).</t>
  </si>
  <si>
    <t>Development Estimates for Parts Quick Order</t>
  </si>
  <si>
    <t>by mhamza</t>
  </si>
  <si>
    <t>Grand Total (in hours)</t>
  </si>
  <si>
    <t>Sum of development, other activities and research efforts.</t>
  </si>
  <si>
    <t>Agent total (h)</t>
  </si>
  <si>
    <t>S.No</t>
  </si>
  <si>
    <t>Task</t>
  </si>
  <si>
    <t>Executor</t>
  </si>
  <si>
    <t>Requirement id(s)</t>
  </si>
  <si>
    <t>Task id</t>
  </si>
  <si>
    <t>API min ($)</t>
  </si>
  <si>
    <t>API max ($)</t>
  </si>
  <si>
    <t>Portal shell, navigation and cross-cutting</t>
  </si>
  <si>
    <t>Environments, CI/CD and hosting for API and portal</t>
  </si>
  <si>
    <t>Environment setup delivers no requirement on its own</t>
  </si>
  <si>
    <t>Joint</t>
  </si>
  <si>
    <t>EST-1</t>
  </si>
  <si>
    <t>Find parts</t>
  </si>
  <si>
    <t>GET /api/parts: search, filters, paging, stock state</t>
  </si>
  <si>
    <t>Sorted by name A–Z, 20 per page, total count; Fields image (or null), name, partNumber, brand, price in GBP with 2 decimals, stockState, stock (whole number); Stock state: In stock (≥5), Low stock (n left) (1–4), Out of stock (0); Search q of at least 2 characters, case-insensitive, on name or part number; 1 character applies no filter; One category and one brand filter combined with search; All means no filter; Empty result returns 200 with empty list and total 0; p95 under 500 ms with 5,000 parts</t>
  </si>
  <si>
    <t>Factory</t>
  </si>
  <si>
    <t>REQ-2, REQ-3, REQ-4, REQ-5, REQ-38</t>
  </si>
  <si>
    <t>EST-4</t>
  </si>
  <si>
    <t>GET /api/parts/brands</t>
  </si>
  <si>
    <t>Distinct brand list taken from the parts data</t>
  </si>
  <si>
    <t>REQ-5</t>
  </si>
  <si>
    <t>EST-5</t>
  </si>
  <si>
    <t>Placing orders (orders API)</t>
  </si>
  <si>
    <t>Orders data model, migrations and seed data</t>
  </si>
  <si>
    <t>orders table: buyer ID, order number, date placed, delivery address, delivery option (STANDARD/NEXT_DAY), total, status; order_lines table: order, part number (refers to existing parts), quantity, unit price; Status values Placed, Packed, Dispatched, Delivered, Cancelled; Database sequence for ORD- + 6 zero-padded digits (ORD-000001); Indexes on buyer and date placed for 100,000 order records (NFR-2); Parts table stays read-only; Seed of 5,000 parts for the load test</t>
  </si>
  <si>
    <t>REQ-20, REQ-28, REQ-30, REQ-38</t>
  </si>
  <si>
    <t>EST-2</t>
  </si>
  <si>
    <t>POST /api/orders: place order rules</t>
  </si>
  <si>
    <t>Validation 400 with error field: no lines, quantity outside 1–99, unknown part number, address outside 5–200 characters, missing or unknown delivery option; Stock re-check: 409 listing each affected part number with available stock, no order saved; Unit price from current part price; client-sent price ignored; Total = subtotal + delivery charge (Standard £0.00, Next day £9.99); Status Placed and sequential order number ORD-000001; 201 response with orderNumber, status and total; Stock quantity in parts database left unchanged</t>
  </si>
  <si>
    <t>REQ-20, REQ-21, REQ-22, REQ-25</t>
  </si>
  <si>
    <t>EST-6</t>
  </si>
  <si>
    <t>My orders</t>
  </si>
  <si>
    <t>Buyer identity from existing company login session</t>
  </si>
  <si>
    <t>Validate existing company login session token or cookie on every API request (ASM-5); Read buyer ID from session for order ownership; Expose signed-in buyer ID to the portal for the cart storage key</t>
  </si>
  <si>
    <t>REQ-27, REQ-16</t>
  </si>
  <si>
    <t>EST-3</t>
  </si>
  <si>
    <t>GET /api/orders: buyer's orders list with status filter</t>
  </si>
  <si>
    <t>Only the signed-in buyer's orders; Newest first; Fields order number, datePlaced, itemCount (total of quantities), total, status; status query filter; Empty list with 200 when no orders</t>
  </si>
  <si>
    <t>REQ-27, REQ-28, REQ-29, REQ-35</t>
  </si>
  <si>
    <t>EST-7</t>
  </si>
  <si>
    <t>GET /api/orders/{orderNumber}: order detail</t>
  </si>
  <si>
    <t>Lines with part number, name, quantity, unit price; Delivery address, delivery option, total, status; 404 for another buyer's order</t>
  </si>
  <si>
    <t>REQ-27, REQ-30</t>
  </si>
  <si>
    <t>EST-8</t>
  </si>
  <si>
    <t>POST /api/orders/{orderNumber}/cancel: cancel rules</t>
  </si>
  <si>
    <t>Cancel only if status is still Placed: set Cancelled, return 200 with status Cancelled; 409 with error message when no longer Placed, status unchanged; 404 for another buyer's order, status unchanged; Stock unchanged on cancel</t>
  </si>
  <si>
    <t>REQ-33, REQ-34, REQ-27, REQ-25</t>
  </si>
  <si>
    <t>EST-9</t>
  </si>
  <si>
    <t>Development Total Efforts (in hours)</t>
  </si>
  <si>
    <t>Other Development Activities</t>
  </si>
  <si>
    <t>None</t>
  </si>
  <si>
    <t>Post Development Activities Total Efforts (in hours)</t>
  </si>
  <si>
    <t>Research Task (if any)</t>
  </si>
  <si>
    <t>No research task in this estimate</t>
  </si>
  <si>
    <t>Research Total Efforts (in hours)</t>
  </si>
  <si>
    <t>Assumptions &amp; Constraints</t>
  </si>
  <si>
    <t>Risks</t>
  </si>
  <si>
    <t>Estimates will increase in case of change in requirement</t>
  </si>
  <si>
    <t>Not in scope: no work in this estimate</t>
  </si>
  <si>
    <t>Portal app shell (web)</t>
  </si>
  <si>
    <t>Routes /parts, /cart, /orders; Header with links to the other two screens and live cart count; Company login session wiring and buyer ID; Error page; Responsive layout without horizontal scroll from 360 px; Visible focus and keyboard navigation; Prices formatted as £ with 2 decimals, English only (NFR-6)</t>
  </si>
  <si>
    <t>REQ-1, REQ-9, REQ-36, REQ-37</t>
  </si>
  <si>
    <t>EST-10</t>
  </si>
  <si>
    <t>Production release of API and portal</t>
  </si>
  <si>
    <t>Production launch delivers no requirement on its own</t>
  </si>
  <si>
    <t>EST-22</t>
  </si>
  <si>
    <t>Find parts screen (web)</t>
  </si>
  <si>
    <t>Search box with "Type at least 2 characters" hint; Category and brand filters with All; Result rows: image, name, part number, brand, price, stock badge with text; Previous/Next paging, back to page 1 on search or filter change; Add to cart, disabled when out of stock; header count bumps with success message; Go to cart (n) link; States: loading skeleton, empty "No parts match" with Clear search and filters, error with Try again, out of stock, low stock, added; First page displayed within 2 seconds with 5,000 parts</t>
  </si>
  <si>
    <t>REQ-1, REQ-2, REQ-3, REQ-4, REQ-5, REQ-6, REQ-7, REQ-8, REQ-9, REQ-10, REQ-36, REQ-37, REQ-38</t>
  </si>
  <si>
    <t>EST-12</t>
  </si>
  <si>
    <t>Cart and checkout</t>
  </si>
  <si>
    <t>CartStore in browser local storage per buyer</t>
  </si>
  <si>
    <t>addPart: add line quantity 1 or +1; out-of-stock part not added; capped at stock with "Only n available"; count(): total of all quantities; lines(): name, partNumber, unitPrice, quantity, lineTotal; setQuantity: blank/0 → 1, above 99 → 99, non-whole → nearest; above stock → stock with "Only n available"; removeLine; subtotal() and totals(STANDARD £0.00 / NEXT_DAY £9.99); Persist lines in local storage under buyer ID; refresh(partsClient): current prices only, remove 0-stock lines with "&lt;part name&gt; is now out of stock", on failure error field and null prices/totals; applyStockLimits from 409: lower lines with "Only n available", remove 0-stock lines with message, keep others</t>
  </si>
  <si>
    <t>REQ-8, REQ-9, REQ-10, REQ-11, REQ-12, REQ-13, REQ-14, REQ-15, REQ-16, REQ-19, REQ-39, REQ-41, REQ-42, REQ-43</t>
  </si>
  <si>
    <t>EST-11</t>
  </si>
  <si>
    <t>Cart lines with live prices (web)</t>
  </si>
  <si>
    <t>Lines table: part, part no., unit price, editable qty, line total, Remove; Instant recalculation of line and order totals; Quantity correction with "Only n available"; Inline alert "&lt;part name&gt; is now out of stock" when a line is removed; Loading state while current prices are fetched; Price error state: lines without prices, error message, Try again, checkout hidden; Empty state "Your cart is empty" with link to Find parts, checkout hidden</t>
  </si>
  <si>
    <t>REQ-9, REQ-11, REQ-12, REQ-13, REQ-14, REQ-15, REQ-17, REQ-41, REQ-42, REQ-43, REQ-36, REQ-37</t>
  </si>
  <si>
    <t>EST-13</t>
  </si>
  <si>
    <t>Checkout form and place order (web)</t>
  </si>
  <si>
    <t>Delivery address textarea 5–200 characters, empty each time, with labelled error; Delivery option radio Standard £0.00 / Next day £9.99; Order summary: items, subtotal, delivery charge, total; Place order enabled only when valid; disabled while submitting (one request); Success: show order number, empty cart, link to My orders; Network error toast: check My orders before retrying; server error toast: cart and details kept; 409 conflict: apply stock limits to lines with messages</t>
  </si>
  <si>
    <t>REQ-18, REQ-19, REQ-20, REQ-21, REQ-22, REQ-23, REQ-24, REQ-39, REQ-40, REQ-36, REQ-37</t>
  </si>
  <si>
    <t>EST-14</t>
  </si>
  <si>
    <t>My orders list (web)</t>
  </si>
  <si>
    <t>Table: order, date placed, items, total, status (text label), newest first; Status filter chips: All statuses, Placed, Packed, Dispatched, Delivered, Cancelled; View order opens panel on the same page; States: loading skeleton, empty "No orders yet" with link to Find parts, filtered empty, error with Try again</t>
  </si>
  <si>
    <t>REQ-1, REQ-28, REQ-29, REQ-35, REQ-36, REQ-37</t>
  </si>
  <si>
    <t>EST-15</t>
  </si>
  <si>
    <t>Order detail drawer, timeline and cancel (web)</t>
  </si>
  <si>
    <t>Drawer overlay: lines, address, delivery option, total, status; Timeline Placed → Packed → Dispatched → Delivered with current status marked by text; Cancel order button only while Placed; Confirm dialog (Yes, cancel order / Keep order); Success toast and status Cancelled; 409 toast: can no longer be cancelled, panel refreshes</t>
  </si>
  <si>
    <t>REQ-1, REQ-30, REQ-31, REQ-32, REQ-33, REQ-34, REQ-37</t>
  </si>
  <si>
    <t>EST-16</t>
  </si>
  <si>
    <t>QA Estimates for Parts Quick Order</t>
  </si>
  <si>
    <t>Grand Total Efforts (in hours)</t>
  </si>
  <si>
    <t>Sum of QA and Misc.</t>
  </si>
  <si>
    <t>Estimation Summary</t>
  </si>
  <si>
    <t>Test Plan/Strategy</t>
  </si>
  <si>
    <t>Test planning, with the test plan, strategy and traceability matrix as outputs. Not sized in this estimate</t>
  </si>
  <si>
    <t>Set up of Test Environments</t>
  </si>
  <si>
    <t>Setting up code and white box test environments. Not sized in this estimate</t>
  </si>
  <si>
    <t>Validation and Smoke test cases</t>
  </si>
  <si>
    <t>Test cases to execute while debugging and white box testing</t>
  </si>
  <si>
    <t>Test cases: Find parts and parts API, including load test</t>
  </si>
  <si>
    <t>API cases AC-2.x to AC-7.x; Load test AC-38.1 (p95 &lt; 500 ms) and AC-38.2 (2 s first page); Manual cases for paging reset, clear button, disabled Add to cart</t>
  </si>
  <si>
    <t>REQ-2, REQ-3, REQ-4, REQ-5, REQ-6, REQ-7, REQ-8, REQ-10, REQ-38</t>
  </si>
  <si>
    <t>EST-17</t>
  </si>
  <si>
    <t>Test cases: Cart, checkout and place order</t>
  </si>
  <si>
    <t>CartStore and CheckoutForm unit cases; Orders API cases for 201, 400, 409, stock unchanged; Manual cases for error, conflict, price failure and success states</t>
  </si>
  <si>
    <t>REQ-11, REQ-12, REQ-13, REQ-14, REQ-15, REQ-16, REQ-17, REQ-18, REQ-19, REQ-20, REQ-21, REQ-22, REQ-23, REQ-24, REQ-25, REQ-39, REQ-40, REQ-41, REQ-42, REQ-43</t>
  </si>
  <si>
    <t>EST-18</t>
  </si>
  <si>
    <t>Test cases: My orders and cancel</t>
  </si>
  <si>
    <t>Ownership 404 cases; List order, filter, detail cases; Cancel success and 409 cases, confirmation decline</t>
  </si>
  <si>
    <t>REQ-27, REQ-28, REQ-29, REQ-30, REQ-31, REQ-32, REQ-33, REQ-34, REQ-35</t>
  </si>
  <si>
    <t>EST-19</t>
  </si>
  <si>
    <t>Validation testing</t>
  </si>
  <si>
    <t>Testing cycles; the detail is below</t>
  </si>
  <si>
    <t>Testing Cycle 1</t>
  </si>
  <si>
    <t>Smoke testing</t>
  </si>
  <si>
    <t>Smoke testing after each deployment, including preparation. Not sized in this estimate</t>
  </si>
  <si>
    <t>Multi Browser Compatibility testing</t>
  </si>
  <si>
    <t>Browser, OS and device compatibility</t>
  </si>
  <si>
    <t>Test cases: accessibility, responsive and browsers</t>
  </si>
  <si>
    <t>Automated axe scan per screen, 0 serious or critical (NFR-3); Keyboard-only journey with screen reader labels; 360/768/1280 px widths on latest 2 Chrome, Edge, Safari, Firefox</t>
  </si>
  <si>
    <t>REQ-1, REQ-36, REQ-37</t>
  </si>
  <si>
    <t>EST-20</t>
  </si>
  <si>
    <t>UAT</t>
  </si>
  <si>
    <t>Client user acceptance testing support</t>
  </si>
  <si>
    <t>Client acceptance testing</t>
  </si>
  <si>
    <t>Client UAT delivers no requirement on its own</t>
  </si>
  <si>
    <t>Human</t>
  </si>
  <si>
    <t>EST-24</t>
  </si>
  <si>
    <t>Misc. Optional testing</t>
  </si>
  <si>
    <t>Other testing named in the breakdown, and supervisor gate time. Not sized in this estimate</t>
  </si>
  <si>
    <t>Total QA Efforts</t>
  </si>
  <si>
    <t>Total hours of QA</t>
  </si>
  <si>
    <t>Validation Testing</t>
  </si>
  <si>
    <t>End-to-end test: find, add, check out, view and cancel</t>
  </si>
  <si>
    <t>Search, add to cart, header count, place order, order number, open in My orders, cancel</t>
  </si>
  <si>
    <t>REQ-1, REQ-4, REQ-8, REQ-9, REQ-18, REQ-20, REQ-23, REQ-28, REQ-30, REQ-32, REQ-33</t>
  </si>
  <si>
    <t>EST-21</t>
  </si>
  <si>
    <t>Total Testing Cycle 1</t>
  </si>
  <si>
    <t>Sum of testing cycle 1</t>
  </si>
  <si>
    <t>Design Estimates for Parts Quick Order</t>
  </si>
  <si>
    <t>Client design review and approval</t>
  </si>
  <si>
    <t>Client walkthrough and sign-off of the approved design</t>
  </si>
  <si>
    <t>EST-23</t>
  </si>
  <si>
    <t>Other Estimates for Parts Quick Order</t>
  </si>
  <si>
    <t>GD</t>
  </si>
  <si>
    <t>GD TOTAL</t>
  </si>
  <si>
    <t>PM</t>
  </si>
  <si>
    <t>Project management: client liaison</t>
  </si>
  <si>
    <t>Client calls, scope decisions and sign-offs</t>
  </si>
  <si>
    <t>EST-25</t>
  </si>
  <si>
    <t>PM TOTAL</t>
  </si>
  <si>
    <t>PDM</t>
  </si>
  <si>
    <t>Handover notes</t>
  </si>
  <si>
    <t>Documentation delivers no requirement on its own</t>
  </si>
  <si>
    <t>EST-26</t>
  </si>
  <si>
    <t>PDM TOTAL</t>
  </si>
  <si>
    <t>Cross-cutting</t>
  </si>
  <si>
    <t>Cross-cutting TOTAL</t>
  </si>
  <si>
    <t>All tasks: Parts Quick Order</t>
  </si>
  <si>
    <t>Filter or sort any column. The Total row adds up only the rows the filter shows.</t>
  </si>
  <si>
    <t>Track</t>
  </si>
  <si>
    <t>Module</t>
  </si>
  <si>
    <t>Backend</t>
  </si>
  <si>
    <t>Web</t>
  </si>
  <si>
    <t>QA</t>
  </si>
  <si>
    <t>Design</t>
  </si>
  <si>
    <t>Total (rows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</si>
</sst>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18" x14ac:knownFonts="1">
    <font>
      <color theme="1"/>
      <family val="2"/>
      <scheme val="minor"/>
      <sz val="11"/>
      <name val="Calibri"/>
    </font>
    <font>
      <color rgb="FF595959"/>
      <sz val="11"/>
      <name val="Calibri"/>
    </font>
    <font>
      <b/>
      <color theme="0"/>
      <sz val="16"/>
      <name val="Calibri"/>
    </font>
    <font>
      <b/>
      <color theme="1"/>
      <sz val="11"/>
      <name val="Calibri"/>
    </font>
    <font>
      <color rgb="FF000000"/>
      <sz val="11"/>
      <name val="Calibri"/>
    </font>
    <font>
      <i/>
      <color rgb="FF7F7F7F"/>
      <sz val="11"/>
      <name val="Calibri"/>
    </font>
    <font>
      <b/>
      <color theme="0"/>
      <sz val="11"/>
      <name val="Calibri"/>
    </font>
    <font>
      <color theme="1"/>
      <scheme val="minor"/>
      <name val="Arial"/>
    </font>
    <font>
      <color theme="1"/>
      <sz val="11"/>
      <name val="Calibri"/>
    </font>
    <font>
      <i/>
      <color theme="1"/>
      <sz val="11"/>
      <name val="Calibri"/>
    </font>
    <font>
      <b/>
    </font>
    <font>
      <color rgb="FFFFFFFF"/>
      <sz val="18"/>
      <name val="Calibri"/>
    </font>
    <font>
      <color rgb="FF000000"/>
      <sz val="14"/>
      <name val="Calibri"/>
    </font>
    <font>
      <b/>
      <color theme="1"/>
      <sz val="14"/>
      <name val="Calibri"/>
    </font>
    <font>
      <b/>
      <color rgb="FFFFFFFF"/>
      <sz val="11"/>
      <name val="Calibri"/>
    </font>
    <font>
      <b/>
      <color rgb="FF3F3F3F"/>
      <sz val="11"/>
      <name val="Calibri"/>
    </font>
    <font>
      <i/>
    </font>
    <font>
      <b/>
      <sz val="14"/>
    </font>
  </fonts>
  <fills count="5">
    <fill>
      <patternFill patternType="none"/>
    </fill>
    <fill>
      <patternFill patternType="gray125"/>
    </fill>
    <fill>
      <patternFill patternType="solid">
        <fgColor rgb="FF7F7F7F"/>
        <bgColor rgb="FF7F7F7F"/>
      </patternFill>
    </fill>
    <fill>
      <patternFill patternType="solid">
        <fgColor rgb="FFF2F2F2"/>
        <bgColor rgb="FFF2F2F2"/>
      </patternFill>
    </fill>
    <fill>
      <patternFill patternType="solid">
        <fgColor rgb="FFD9E1F2"/>
      </patternFill>
    </fill>
  </fills>
  <borders count="3">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0">
    <xf numFmtId="0" fontId="0" fillId="0" borderId="0" xfId="0"/>
    <xf numFmtId="0" fontId="1" fillId="0" borderId="0" xfId="0" applyFont="1"/>
    <xf numFmtId="0" fontId="2" fillId="2" borderId="0" xfId="0" applyFont="1" applyFill="1" applyAlignment="1">
      <alignment horizontal="center"/>
    </xf>
    <xf numFmtId="0" fontId="3" fillId="0" borderId="0" xfId="0" applyFont="1"/>
    <xf numFmtId="0" fontId="4" fillId="0" borderId="0" xfId="0" applyFont="1" applyAlignment="1">
      <alignment horizontal="left"/>
    </xf>
    <xf numFmtId="0" fontId="5" fillId="0" borderId="1" xfId="0" applyFont="1" applyBorder="1" applyAlignment="1">
      <alignment horizontal="center"/>
    </xf>
    <xf numFmtId="0" fontId="6" fillId="2" borderId="2" xfId="0" applyFont="1" applyFill="1" applyBorder="1" applyAlignment="1">
      <alignment horizontal="center"/>
    </xf>
    <xf numFmtId="0" fontId="6" fillId="2" borderId="2" xfId="0" applyFont="1" applyFill="1" applyBorder="1"/>
    <xf numFmtId="0" fontId="7" fillId="0" borderId="0" xfId="0" applyFont="1" applyAlignment="1">
      <alignment readingOrder="1"/>
    </xf>
    <xf numFmtId="0" fontId="8" fillId="0" borderId="2" xfId="0" applyFont="1" applyBorder="1" applyAlignment="1">
      <alignment readingOrder="1"/>
    </xf>
    <xf numFmtId="2" fontId="4" fillId="0" borderId="2" xfId="0" applyNumberFormat="1" applyFont="1" applyBorder="1"/>
    <xf numFmtId="0" fontId="8" fillId="0" borderId="2" xfId="0" applyFont="1" applyBorder="1"/>
    <xf numFmtId="2" fontId="8" fillId="0" borderId="0" xfId="0" applyNumberFormat="1" applyFont="1"/>
    <xf numFmtId="2" fontId="8" fillId="0" borderId="0" xfId="0" applyNumberFormat="1" applyFont="1" applyAlignment="1">
      <alignment readingOrder="1"/>
    </xf>
    <xf numFmtId="2" fontId="8" fillId="0" borderId="2" xfId="0" applyNumberFormat="1" applyFont="1" applyBorder="1"/>
    <xf numFmtId="0" fontId="9" fillId="0" borderId="2" xfId="0" applyFont="1" applyBorder="1" applyAlignment="1">
      <alignment horizontal="left"/>
    </xf>
    <xf numFmtId="2" fontId="0" fillId="0" borderId="0" xfId="0" applyNumberFormat="1"/>
    <xf numFmtId="2" fontId="10" fillId="0" borderId="0" xfId="0" applyNumberFormat="1" applyFont="1"/>
    <xf numFmtId="0" fontId="11" fillId="2" borderId="0" xfId="0" applyFont="1" applyFill="1" applyAlignment="1">
      <alignment horizontal="center" vertical="center"/>
    </xf>
    <xf numFmtId="164" fontId="12" fillId="0" borderId="0" xfId="0" applyNumberFormat="1" applyFont="1" applyAlignment="1">
      <alignment horizontal="center" vertical="center" readingOrder="1"/>
    </xf>
    <xf numFmtId="0" fontId="12" fillId="0" borderId="0" xfId="0" applyFont="1" applyAlignment="1">
      <alignment horizontal="center" vertical="center" readingOrder="1"/>
    </xf>
    <xf numFmtId="0" fontId="13" fillId="0" borderId="0" xfId="0" applyFont="1" applyAlignment="1">
      <alignment horizontal="right" vertical="center"/>
    </xf>
    <xf numFmtId="2" fontId="13" fillId="0" borderId="0" xfId="0" applyNumberFormat="1" applyFont="1" applyAlignment="1">
      <alignment vertical="center"/>
    </xf>
    <xf numFmtId="0" fontId="8" fillId="0" borderId="0" xfId="0" applyFont="1" applyAlignment="1">
      <alignment vertical="center"/>
    </xf>
    <xf numFmtId="0" fontId="6" fillId="2" borderId="2" xfId="0" applyFont="1" applyFill="1" applyBorder="1" applyAlignment="1">
      <alignment vertical="center"/>
    </xf>
    <xf numFmtId="0" fontId="14" fillId="2" borderId="2" xfId="0" applyFont="1" applyFill="1" applyBorder="1" applyAlignment="1">
      <alignment horizontal="center" vertical="center"/>
    </xf>
    <xf numFmtId="0" fontId="6" fillId="2" borderId="2" xfId="0" applyFont="1" applyFill="1" applyBorder="1" applyAlignment="1">
      <alignment vertical="center" wrapText="1"/>
    </xf>
    <xf numFmtId="0" fontId="15" fillId="3" borderId="2" xfId="0" applyFont="1" applyFill="1" applyBorder="1" applyAlignment="1">
      <alignment horizontal="right"/>
    </xf>
    <xf numFmtId="0" fontId="15" fillId="3" borderId="2" xfId="0" applyFont="1" applyFill="1" applyBorder="1" applyAlignment="1">
      <alignment readingOrder="1"/>
    </xf>
    <xf numFmtId="2" fontId="15" fillId="3" borderId="2" xfId="0" applyNumberFormat="1" applyFont="1" applyFill="1" applyBorder="1" applyAlignment="1">
      <alignment horizontal="right"/>
    </xf>
    <xf numFmtId="0" fontId="8" fillId="3" borderId="2" xfId="0" applyFont="1" applyFill="1" applyBorder="1"/>
    <xf numFmtId="0" fontId="4" fillId="0" borderId="2" xfId="0" applyFont="1" applyBorder="1" applyAlignment="1">
      <alignment readingOrder="1"/>
    </xf>
    <xf numFmtId="2" fontId="4" fillId="0" borderId="2" xfId="0" applyNumberFormat="1" applyFont="1" applyBorder="1" applyAlignment="1">
      <alignment horizontal="right" readingOrder="1"/>
    </xf>
    <xf numFmtId="0" fontId="15" fillId="3" borderId="2" xfId="0" applyFont="1" applyFill="1" applyBorder="1" applyAlignment="1">
      <alignment horizontal="right" vertical="center"/>
    </xf>
    <xf numFmtId="2" fontId="15" fillId="3" borderId="2" xfId="0" applyNumberFormat="1" applyFont="1" applyFill="1" applyBorder="1" applyAlignment="1">
      <alignment vertical="center"/>
    </xf>
    <xf numFmtId="0" fontId="15" fillId="3" borderId="2" xfId="0" applyFont="1" applyFill="1" applyBorder="1" applyAlignment="1">
      <alignment vertical="center"/>
    </xf>
    <xf numFmtId="0" fontId="16" fillId="0" borderId="0" xfId="0" applyFont="1"/>
    <xf numFmtId="0" fontId="17" fillId="0" borderId="0" xfId="0" applyFont="1"/>
    <xf numFmtId="0" fontId="10" fillId="4" borderId="0" xfId="0" applyFont="1" applyFill="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102"/>
  <sheetFormatPr defaultRowHeight="15" outlineLevelRow="0" outlineLevelCol="0" x14ac:dyDescent="55"/>
  <cols>
    <col min="1" max="1" width="7.75" customWidth="1"/>
    <col min="2" max="2" width="33.13" customWidth="1"/>
    <col min="3" max="3" width="9.88" customWidth="1"/>
    <col min="4" max="4" width="10.63" customWidth="1"/>
    <col min="5" max="5" width="42.38" customWidth="1"/>
    <col min="6" max="7" width="14" customWidth="1"/>
    <col min="8" max="10" width="12" customWidth="1"/>
  </cols>
  <sheetData>
    <row r="1" spans="2:2" x14ac:dyDescent="0.25">
      <c r="B1" s="1" t="s">
        <v>0</v>
      </c>
    </row>
    <row r="2" spans="2:5" x14ac:dyDescent="0.25">
      <c r="B2" s="2" t="s">
        <v>1</v>
      </c>
      <c r="C2" s="2"/>
      <c r="D2" s="2"/>
      <c r="E2" s="2"/>
    </row>
    <row r="3" spans="2:5" x14ac:dyDescent="0.25">
      <c r="B3" s="2" t="s">
        <v>2</v>
      </c>
      <c r="C3" s="2"/>
      <c r="D3" s="2"/>
      <c r="E3" s="2"/>
    </row>
    <row r="5" spans="2:3" x14ac:dyDescent="0.25">
      <c r="B5" s="3" t="s">
        <v>3</v>
      </c>
      <c r="C5" s="4" t="s">
        <v>4</v>
      </c>
    </row>
    <row r="6" spans="2:3" x14ac:dyDescent="0.25">
      <c r="B6" s="3" t="s">
        <v>5</v>
      </c>
      <c r="C6" s="4" t="s">
        <v>6</v>
      </c>
    </row>
    <row r="7" spans="2:3" x14ac:dyDescent="0.25">
      <c r="B7" s="3" t="s">
        <v>7</v>
      </c>
      <c r="C7" s="4" t="s">
        <v>8</v>
      </c>
    </row>
    <row r="8" spans="2:3" x14ac:dyDescent="0.25">
      <c r="B8" s="3" t="s">
        <v>9</v>
      </c>
      <c r="C8" s="4" t="s">
        <v>10</v>
      </c>
    </row>
    <row r="9" spans="3:7" x14ac:dyDescent="0.25">
      <c r="C9" s="5" t="s">
        <v>11</v>
      </c>
      <c r="D9" s="5"/>
      <c r="F9" s="5" t="s">
        <v>12</v>
      </c>
      <c r="G9" s="5"/>
    </row>
    <row r="10" spans="2:10" x14ac:dyDescent="0.25">
      <c r="B10" s="6" t="s">
        <v>13</v>
      </c>
      <c r="C10" s="7" t="s">
        <v>14</v>
      </c>
      <c r="D10" s="7" t="s">
        <v>15</v>
      </c>
      <c r="E10" s="7" t="s">
        <v>16</v>
      </c>
      <c r="F10" s="7" t="s">
        <v>17</v>
      </c>
      <c r="G10" s="7" t="s">
        <v>18</v>
      </c>
      <c r="H10" s="8" t="s">
        <v>19</v>
      </c>
      <c r="I10" s="8" t="s">
        <v>20</v>
      </c>
      <c r="J10" s="8" t="s">
        <v>21</v>
      </c>
    </row>
    <row r="11" spans="2:10" x14ac:dyDescent="0.25">
      <c r="B11" s="9" t="s">
        <v>22</v>
      </c>
      <c r="C11" s="10">
        <f>'Dev Backend Estimates'!D6</f>
        <v>30.57</v>
      </c>
      <c r="D11" s="10">
        <f>'Dev Backend Estimates'!E6</f>
        <v>51.55</v>
      </c>
      <c r="E11" s="11" t="s">
        <v>23</v>
      </c>
      <c r="F11" s="10">
        <f>'Dev Backend Estimates'!J6</f>
        <v>62.58</v>
      </c>
      <c r="G11" s="10">
        <f>'Dev Backend Estimates'!K6</f>
        <v>110.56</v>
      </c>
      <c r="H11" s="12">
        <f>ROUND((C11+D11)/2,2)</f>
        <v>41.06</v>
      </c>
      <c r="I11" s="13">
        <v>1</v>
      </c>
      <c r="J11" s="12">
        <f>ROUND(H11/($C$48*I11),2)</f>
        <v>1.03</v>
      </c>
    </row>
    <row r="12" spans="2:10" x14ac:dyDescent="0.25">
      <c r="B12" s="9" t="s">
        <v>24</v>
      </c>
      <c r="C12" s="10">
        <f>'Dev Mobile Estimates'!D6</f>
        <v>0</v>
      </c>
      <c r="D12" s="10">
        <f>'Dev Mobile Estimates'!E6</f>
        <v>0</v>
      </c>
      <c r="E12" s="11" t="s">
        <v>25</v>
      </c>
      <c r="F12" s="10">
        <f>'Dev Mobile Estimates'!J6</f>
        <v>0</v>
      </c>
      <c r="G12" s="10">
        <f>'Dev Mobile Estimates'!K6</f>
        <v>0</v>
      </c>
      <c r="H12" s="12">
        <f>ROUND((C12+D12)/2,2)</f>
        <v>0</v>
      </c>
      <c r="I12" s="13">
        <v>1</v>
      </c>
      <c r="J12" s="12">
        <f>ROUND(H12/($C$48*I12),2)</f>
        <v>0</v>
      </c>
    </row>
    <row r="13" spans="2:10" x14ac:dyDescent="0.25">
      <c r="B13" s="9" t="s">
        <v>26</v>
      </c>
      <c r="C13" s="10">
        <f>'Dev Web Estimates'!D6</f>
        <v>6.55</v>
      </c>
      <c r="D13" s="10">
        <f>'Dev Web Estimates'!E6</f>
        <v>13.1</v>
      </c>
      <c r="E13" s="11" t="s">
        <v>27</v>
      </c>
      <c r="F13" s="10">
        <f>'Dev Web Estimates'!J6</f>
        <v>65.37</v>
      </c>
      <c r="G13" s="10">
        <f>'Dev Web Estimates'!K6</f>
        <v>109.28</v>
      </c>
      <c r="H13" s="12">
        <f>ROUND((C13+D13)/2,2)</f>
        <v>9.82</v>
      </c>
      <c r="I13" s="13">
        <v>1</v>
      </c>
      <c r="J13" s="12">
        <f>ROUND(H13/($C$48*I13),2)</f>
        <v>0.25</v>
      </c>
    </row>
    <row r="14" spans="2:10" x14ac:dyDescent="0.25">
      <c r="B14" s="9" t="s">
        <v>28</v>
      </c>
      <c r="C14" s="10">
        <f>'QA Estimates'!D6</f>
        <v>4</v>
      </c>
      <c r="D14" s="10">
        <f>'QA Estimates'!E6</f>
        <v>8</v>
      </c>
      <c r="E14" s="11" t="s">
        <v>29</v>
      </c>
      <c r="F14" s="10">
        <f>'QA Estimates'!J6</f>
        <v>18.9</v>
      </c>
      <c r="G14" s="10">
        <f>'QA Estimates'!K6</f>
        <v>35.8</v>
      </c>
      <c r="H14" s="12">
        <f>ROUND((C14+D14)/2,2)</f>
        <v>6</v>
      </c>
      <c r="I14" s="13">
        <v>1</v>
      </c>
      <c r="J14" s="12">
        <f>ROUND(H14/($C$48*I14),2)</f>
        <v>0.15</v>
      </c>
    </row>
    <row r="15" spans="2:10" x14ac:dyDescent="0.25">
      <c r="B15" s="9" t="s">
        <v>30</v>
      </c>
      <c r="C15" s="10">
        <f>'Other Estimates'!D10</f>
        <v>0</v>
      </c>
      <c r="D15" s="10">
        <f>'Other Estimates'!E10</f>
        <v>0</v>
      </c>
      <c r="E15" s="11" t="s">
        <v>31</v>
      </c>
      <c r="F15" s="10">
        <f>'Other Estimates'!J10</f>
        <v>0</v>
      </c>
      <c r="G15" s="10">
        <f>'Other Estimates'!K10</f>
        <v>0</v>
      </c>
      <c r="H15" s="12">
        <f>ROUND((C15+D15)/2,2)</f>
        <v>0</v>
      </c>
      <c r="I15" s="13">
        <v>1</v>
      </c>
      <c r="J15" s="12">
        <f>ROUND(H15/($C$48*I15),2)</f>
        <v>0</v>
      </c>
    </row>
    <row r="16" spans="2:10" x14ac:dyDescent="0.25">
      <c r="B16" s="9" t="s">
        <v>32</v>
      </c>
      <c r="C16" s="10">
        <f>'Other Estimates'!D16</f>
        <v>4</v>
      </c>
      <c r="D16" s="10">
        <f>'Other Estimates'!E16</f>
        <v>8</v>
      </c>
      <c r="E16" s="11" t="s">
        <v>31</v>
      </c>
      <c r="F16" s="10">
        <f>'Other Estimates'!J16</f>
        <v>0</v>
      </c>
      <c r="G16" s="10">
        <f>'Other Estimates'!K16</f>
        <v>0</v>
      </c>
      <c r="H16" s="12">
        <f>ROUND((C16+D16)/2,2)</f>
        <v>6</v>
      </c>
      <c r="I16" s="13">
        <v>1</v>
      </c>
      <c r="J16" s="12">
        <f>ROUND(H16/($C$48*I16),2)</f>
        <v>0.15</v>
      </c>
    </row>
    <row r="17" spans="2:10" x14ac:dyDescent="0.25">
      <c r="B17" s="9" t="s">
        <v>33</v>
      </c>
      <c r="C17" s="10">
        <f>'Other Estimates'!D22</f>
        <v>0</v>
      </c>
      <c r="D17" s="10">
        <f>'Other Estimates'!E22</f>
        <v>0</v>
      </c>
      <c r="E17" s="11" t="s">
        <v>31</v>
      </c>
      <c r="F17" s="10">
        <f>'Other Estimates'!J22</f>
        <v>2.88</v>
      </c>
      <c r="G17" s="10">
        <f>'Other Estimates'!K22</f>
        <v>5.76</v>
      </c>
      <c r="H17" s="12">
        <f>ROUND((C17+D17)/2,2)</f>
        <v>0</v>
      </c>
      <c r="I17" s="13">
        <v>1</v>
      </c>
      <c r="J17" s="12">
        <f>ROUND(H17/($C$48*I17),2)</f>
        <v>0</v>
      </c>
    </row>
    <row r="18" spans="2:10" x14ac:dyDescent="0.25">
      <c r="B18" s="9" t="s">
        <v>34</v>
      </c>
      <c r="C18" s="10">
        <f>'Other Estimates'!D28</f>
        <v>0</v>
      </c>
      <c r="D18" s="10">
        <f>'Other Estimates'!E28</f>
        <v>0</v>
      </c>
      <c r="E18" s="11" t="s">
        <v>35</v>
      </c>
      <c r="F18" s="10">
        <f>'Other Estimates'!J28</f>
        <v>0</v>
      </c>
      <c r="G18" s="10">
        <f>'Other Estimates'!K28</f>
        <v>0</v>
      </c>
      <c r="H18" s="12">
        <f>ROUND((C18+D18)/2,2)</f>
        <v>0</v>
      </c>
      <c r="I18" s="13">
        <v>1</v>
      </c>
      <c r="J18" s="12">
        <f>ROUND(H18/($C$48*I18),2)</f>
        <v>0</v>
      </c>
    </row>
    <row r="19" spans="2:10" x14ac:dyDescent="0.25">
      <c r="B19" s="9" t="s">
        <v>36</v>
      </c>
      <c r="C19" s="10">
        <f>'Design Estimates'!D6</f>
        <v>2</v>
      </c>
      <c r="D19" s="10">
        <f>'Design Estimates'!E6</f>
        <v>4</v>
      </c>
      <c r="E19" s="11" t="s">
        <v>37</v>
      </c>
      <c r="F19" s="10">
        <f>'Design Estimates'!J6</f>
        <v>0</v>
      </c>
      <c r="G19" s="10">
        <f>'Design Estimates'!K6</f>
        <v>0</v>
      </c>
      <c r="H19" s="12">
        <f>ROUND((C19+D19)/2,2)</f>
        <v>3</v>
      </c>
      <c r="I19" s="13">
        <v>1</v>
      </c>
      <c r="J19" s="12">
        <f>ROUND(H19/($C$48*I19),2)</f>
        <v>0.08</v>
      </c>
    </row>
    <row r="20" spans="2:8" x14ac:dyDescent="0.25">
      <c r="B20" s="11" t="s">
        <v>38</v>
      </c>
      <c r="C20" s="14">
        <f>SUM(C11:C18)+IF($C$47="Yes",C19,0)</f>
        <v>47.12</v>
      </c>
      <c r="D20" s="14">
        <f>SUM(D11:D18)+IF($C$47="Yes",D19,0)</f>
        <v>84.65</v>
      </c>
      <c r="F20" s="14">
        <f>SUM(F11:F18)+IF($C$47="Yes",F19,0)</f>
        <v>149.73</v>
      </c>
      <c r="G20" s="14">
        <f>SUM(G11:G18)+IF($C$47="Yes",G19,0)</f>
        <v>261.4</v>
      </c>
      <c r="H20" s="14">
        <f>ROUND((C20+D20)/2,2)</f>
        <v>65.89</v>
      </c>
    </row>
    <row r="23" spans="2:2" x14ac:dyDescent="0.25">
      <c r="B23" s="3" t="s">
        <v>39</v>
      </c>
    </row>
    <row r="24" spans="2:5" x14ac:dyDescent="0.25">
      <c r="B24" s="6" t="s">
        <v>40</v>
      </c>
      <c r="C24" s="6" t="s">
        <v>41</v>
      </c>
      <c r="D24" s="6" t="s">
        <v>42</v>
      </c>
      <c r="E24" s="6" t="s">
        <v>16</v>
      </c>
    </row>
    <row r="25" spans="2:5" x14ac:dyDescent="0.25">
      <c r="B25" s="11" t="s">
        <v>43</v>
      </c>
      <c r="C25" s="15" t="s">
        <v>44</v>
      </c>
      <c r="E25" s="11" t="s">
        <v>45</v>
      </c>
    </row>
    <row r="26" spans="2:5" x14ac:dyDescent="0.25">
      <c r="B26" s="11" t="s">
        <v>46</v>
      </c>
      <c r="C26" s="15" t="s">
        <v>47</v>
      </c>
      <c r="E26" s="11" t="s">
        <v>48</v>
      </c>
    </row>
    <row r="27" spans="2:5" x14ac:dyDescent="0.25">
      <c r="B27" s="11" t="s">
        <v>49</v>
      </c>
      <c r="C27" s="15" t="s">
        <v>50</v>
      </c>
      <c r="E27" s="11" t="s">
        <v>51</v>
      </c>
    </row>
    <row r="28" spans="2:5" x14ac:dyDescent="0.25">
      <c r="B28" s="11" t="s">
        <v>52</v>
      </c>
      <c r="C28" s="15" t="s">
        <v>47</v>
      </c>
      <c r="E28" s="11" t="s">
        <v>48</v>
      </c>
    </row>
    <row r="29" spans="2:5" x14ac:dyDescent="0.25">
      <c r="B29" s="11" t="s">
        <v>53</v>
      </c>
      <c r="C29" s="15" t="s">
        <v>54</v>
      </c>
      <c r="E29" s="11" t="s">
        <v>55</v>
      </c>
    </row>
    <row r="30" spans="2:5" x14ac:dyDescent="0.25">
      <c r="B30" s="11" t="s">
        <v>56</v>
      </c>
      <c r="C30" s="15" t="s">
        <v>47</v>
      </c>
      <c r="E30" s="11" t="s">
        <v>48</v>
      </c>
    </row>
    <row r="31" spans="2:5" x14ac:dyDescent="0.25">
      <c r="B31" s="11" t="s">
        <v>57</v>
      </c>
      <c r="C31" s="15" t="s">
        <v>47</v>
      </c>
      <c r="E31" s="11" t="s">
        <v>48</v>
      </c>
    </row>
    <row r="32" spans="2:5" x14ac:dyDescent="0.25">
      <c r="B32" s="11" t="s">
        <v>58</v>
      </c>
      <c r="C32" s="15" t="s">
        <v>59</v>
      </c>
      <c r="E32" s="11" t="s">
        <v>42</v>
      </c>
    </row>
    <row r="46" spans="2:2" x14ac:dyDescent="0.25">
      <c r="B46" s="3" t="s">
        <v>60</v>
      </c>
    </row>
    <row r="47" spans="2:3" x14ac:dyDescent="0.25">
      <c r="B47" s="3" t="s">
        <v>61</v>
      </c>
      <c r="C47" s="4" t="s">
        <v>62</v>
      </c>
    </row>
    <row r="48" spans="2:3" x14ac:dyDescent="0.25">
      <c r="B48" s="3" t="s">
        <v>63</v>
      </c>
      <c r="C48" s="4">
        <v>40</v>
      </c>
    </row>
    <row r="49" spans="2:3" x14ac:dyDescent="0.25">
      <c r="B49" s="3" t="s">
        <v>64</v>
      </c>
      <c r="C49" s="4">
        <v>2</v>
      </c>
    </row>
    <row r="50" spans="2:3" x14ac:dyDescent="0.25">
      <c r="B50" s="3" t="s">
        <v>65</v>
      </c>
      <c r="C50" s="4" t="s">
        <v>66</v>
      </c>
    </row>
    <row r="51" spans="2:3" x14ac:dyDescent="0.25">
      <c r="B51" s="3" t="s">
        <v>67</v>
      </c>
      <c r="C51" s="4" t="s">
        <v>68</v>
      </c>
    </row>
    <row r="55" spans="2:2" x14ac:dyDescent="0.25">
      <c r="B55" s="3" t="s">
        <v>69</v>
      </c>
    </row>
    <row r="56" spans="2:5" x14ac:dyDescent="0.25">
      <c r="B56" s="6" t="s">
        <v>70</v>
      </c>
      <c r="C56" s="6" t="s">
        <v>71</v>
      </c>
      <c r="D56" s="6" t="s">
        <v>72</v>
      </c>
      <c r="E56" s="6" t="s">
        <v>73</v>
      </c>
    </row>
    <row r="57" spans="2:5" x14ac:dyDescent="0.25">
      <c r="B57" s="11" t="s">
        <v>74</v>
      </c>
      <c r="C57" s="16">
        <v>0.74</v>
      </c>
      <c r="D57" s="16">
        <v>2.86</v>
      </c>
      <c r="E57" s="11" t="s">
        <v>75</v>
      </c>
    </row>
    <row r="58" spans="2:5" x14ac:dyDescent="0.25">
      <c r="B58" s="11" t="s">
        <v>76</v>
      </c>
      <c r="C58" s="16">
        <v>0.06</v>
      </c>
      <c r="D58" s="16">
        <v>7.98</v>
      </c>
      <c r="E58" s="11" t="s">
        <v>75</v>
      </c>
    </row>
    <row r="59" spans="2:5" x14ac:dyDescent="0.25">
      <c r="B59" s="11" t="s">
        <v>77</v>
      </c>
      <c r="C59" s="16">
        <v>0.8</v>
      </c>
      <c r="D59" s="16">
        <v>0.8</v>
      </c>
      <c r="E59" s="11" t="s">
        <v>78</v>
      </c>
    </row>
    <row r="60" spans="2:5" x14ac:dyDescent="0.25">
      <c r="B60" s="11" t="s">
        <v>79</v>
      </c>
      <c r="C60" s="16">
        <v>15.44</v>
      </c>
      <c r="D60" s="16">
        <v>53</v>
      </c>
      <c r="E60" s="11" t="s">
        <v>80</v>
      </c>
    </row>
    <row r="61" spans="2:5" x14ac:dyDescent="0.25">
      <c r="B61" s="11" t="s">
        <v>81</v>
      </c>
      <c r="C61" s="16">
        <v>1.59</v>
      </c>
      <c r="D61" s="16">
        <v>4.32</v>
      </c>
      <c r="E61" s="11" t="s">
        <v>82</v>
      </c>
    </row>
    <row r="62" spans="2:4" x14ac:dyDescent="0.25">
      <c r="B62" s="3" t="s">
        <v>83</v>
      </c>
      <c r="C62" s="17">
        <f>SUM(C57:C61)</f>
        <v>18.63</v>
      </c>
      <c r="D62" s="17">
        <f>SUM(D57:D61)</f>
        <v>68.96</v>
      </c>
    </row>
    <row r="63" spans="2:3" x14ac:dyDescent="0.25">
      <c r="B63" s="3" t="s">
        <v>84</v>
      </c>
      <c r="C63" s="4" t="s">
        <v>85</v>
      </c>
    </row>
    <row r="64" spans="2:3" x14ac:dyDescent="0.25">
      <c r="B64" s="3" t="s">
        <v>86</v>
      </c>
      <c r="C64" s="4" t="s">
        <v>87</v>
      </c>
    </row>
    <row r="66" spans="2:2" x14ac:dyDescent="0.25">
      <c r="B66" s="3" t="s">
        <v>88</v>
      </c>
    </row>
    <row r="67" spans="2:2" x14ac:dyDescent="0.25">
      <c r="B67" s="11" t="s">
        <v>89</v>
      </c>
    </row>
    <row r="68" spans="2:3" x14ac:dyDescent="0.25">
      <c r="B68" s="11" t="s">
        <v>90</v>
      </c>
      <c r="C68" s="4" t="s">
        <v>91</v>
      </c>
    </row>
    <row r="70" spans="2:2" x14ac:dyDescent="0.25">
      <c r="B70" s="3" t="s">
        <v>92</v>
      </c>
    </row>
    <row r="71" spans="2:3" x14ac:dyDescent="0.25">
      <c r="B71" s="11" t="s">
        <v>93</v>
      </c>
      <c r="C71" s="16">
        <v>2</v>
      </c>
    </row>
    <row r="72" spans="2:4" x14ac:dyDescent="0.25">
      <c r="B72" s="11" t="s">
        <v>94</v>
      </c>
      <c r="C72" s="16">
        <v>10.57</v>
      </c>
      <c r="D72" s="16">
        <v>17.95</v>
      </c>
    </row>
    <row r="74" spans="2:2" x14ac:dyDescent="0.25">
      <c r="B74" s="3" t="s">
        <v>95</v>
      </c>
    </row>
    <row r="75" spans="2:2" x14ac:dyDescent="0.25">
      <c r="B75" s="11" t="s">
        <v>96</v>
      </c>
    </row>
    <row r="76" spans="2:2" x14ac:dyDescent="0.25">
      <c r="B76" s="11" t="s">
        <v>97</v>
      </c>
    </row>
    <row r="77" spans="2:2" x14ac:dyDescent="0.25">
      <c r="B77" s="11" t="s">
        <v>98</v>
      </c>
    </row>
    <row r="78" spans="2:2" x14ac:dyDescent="0.25">
      <c r="B78" s="11" t="s">
        <v>99</v>
      </c>
    </row>
    <row r="79" spans="2:2" x14ac:dyDescent="0.25">
      <c r="B79" s="11" t="s">
        <v>100</v>
      </c>
    </row>
    <row r="80" spans="2:2" x14ac:dyDescent="0.25">
      <c r="B80" s="11" t="s">
        <v>101</v>
      </c>
    </row>
    <row r="81" spans="2:2" x14ac:dyDescent="0.25">
      <c r="B81" s="11" t="s">
        <v>102</v>
      </c>
    </row>
    <row r="82" spans="2:2" x14ac:dyDescent="0.25">
      <c r="B82" s="11" t="s">
        <v>103</v>
      </c>
    </row>
    <row r="83" spans="2:2" x14ac:dyDescent="0.25">
      <c r="B83" s="11" t="s">
        <v>104</v>
      </c>
    </row>
    <row r="84" spans="2:2" x14ac:dyDescent="0.25">
      <c r="B84" s="11" t="s">
        <v>105</v>
      </c>
    </row>
    <row r="85" spans="2:2" x14ac:dyDescent="0.25">
      <c r="B85" s="11" t="s">
        <v>106</v>
      </c>
    </row>
    <row r="86" spans="2:2" x14ac:dyDescent="0.25">
      <c r="B86" s="11" t="s">
        <v>107</v>
      </c>
    </row>
    <row r="87" spans="2:2" x14ac:dyDescent="0.25">
      <c r="B87" s="11" t="s">
        <v>108</v>
      </c>
    </row>
    <row r="88" spans="2:2" x14ac:dyDescent="0.25">
      <c r="B88" s="11" t="s">
        <v>109</v>
      </c>
    </row>
    <row r="89" spans="2:2" x14ac:dyDescent="0.25">
      <c r="B89" s="11" t="s">
        <v>110</v>
      </c>
    </row>
    <row r="90" spans="2:2" x14ac:dyDescent="0.25">
      <c r="B90" s="11" t="s">
        <v>111</v>
      </c>
    </row>
    <row r="91" spans="2:2" x14ac:dyDescent="0.25">
      <c r="B91" s="11" t="s">
        <v>112</v>
      </c>
    </row>
    <row r="92" spans="2:2" x14ac:dyDescent="0.25">
      <c r="B92" s="11" t="s">
        <v>113</v>
      </c>
    </row>
    <row r="93" spans="2:2" x14ac:dyDescent="0.25">
      <c r="B93" s="11" t="s">
        <v>114</v>
      </c>
    </row>
    <row r="94" spans="2:2" x14ac:dyDescent="0.25">
      <c r="B94" s="11" t="s">
        <v>115</v>
      </c>
    </row>
    <row r="95" spans="2:2" x14ac:dyDescent="0.25">
      <c r="B95" s="11" t="s">
        <v>116</v>
      </c>
    </row>
    <row r="96" spans="2:2" x14ac:dyDescent="0.25">
      <c r="B96" s="11" t="s">
        <v>117</v>
      </c>
    </row>
    <row r="97" spans="2:2" x14ac:dyDescent="0.25">
      <c r="B97" s="11" t="s">
        <v>118</v>
      </c>
    </row>
    <row r="98" spans="2:2" x14ac:dyDescent="0.25">
      <c r="B98" s="11" t="s">
        <v>119</v>
      </c>
    </row>
    <row r="99" spans="2:2" x14ac:dyDescent="0.25">
      <c r="B99" s="11" t="s">
        <v>120</v>
      </c>
    </row>
    <row r="100" spans="2:2" x14ac:dyDescent="0.25">
      <c r="B100" s="11" t="s">
        <v>121</v>
      </c>
    </row>
    <row r="101" spans="2:2" x14ac:dyDescent="0.25">
      <c r="B101" s="11" t="s">
        <v>122</v>
      </c>
    </row>
    <row r="102" spans="2:2" x14ac:dyDescent="0.25">
      <c r="B102" s="11" t="s">
        <v>123</v>
      </c>
    </row>
  </sheetData>
  <mergeCells count="4">
    <mergeCell ref="B2:E2"/>
    <mergeCell ref="B3:E3"/>
    <mergeCell ref="C9:D9"/>
    <mergeCell ref="F9:G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71"/>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3" width="12" customWidth="1"/>
    <col min="14" max="26" width="7.75" customWidth="1"/>
  </cols>
  <sheetData>
    <row r="2" spans="2:6" x14ac:dyDescent="0.25">
      <c r="B2" s="18" t="s">
        <v>124</v>
      </c>
      <c r="C2" s="18"/>
      <c r="D2" s="18"/>
      <c r="E2" s="18"/>
      <c r="F2" s="18"/>
    </row>
    <row r="3" spans="2:6" x14ac:dyDescent="0.25">
      <c r="B3" s="19" t="s">
        <v>8</v>
      </c>
      <c r="C3" s="19"/>
      <c r="D3" s="19"/>
      <c r="E3" s="19"/>
      <c r="F3" s="19"/>
    </row>
    <row r="4" spans="2:6" x14ac:dyDescent="0.25">
      <c r="B4" s="20" t="s">
        <v>125</v>
      </c>
      <c r="C4" s="20"/>
      <c r="D4" s="20"/>
      <c r="E4" s="20"/>
      <c r="F4" s="20"/>
    </row>
    <row r="6" spans="3:11" x14ac:dyDescent="0.25">
      <c r="C6" s="21" t="s">
        <v>126</v>
      </c>
      <c r="D6" s="22">
        <f>D26+D31+D36</f>
        <v>30.57</v>
      </c>
      <c r="E6" s="22">
        <f>E26+E31+E36</f>
        <v>51.55</v>
      </c>
      <c r="F6" s="23" t="s">
        <v>127</v>
      </c>
      <c r="I6" s="21" t="s">
        <v>128</v>
      </c>
      <c r="J6" s="22">
        <f>J26+J31+J36</f>
        <v>62.58</v>
      </c>
      <c r="K6" s="22">
        <f>K26+K31+K36</f>
        <v>110.56</v>
      </c>
    </row>
    <row r="8" spans="2:13" x14ac:dyDescent="0.25">
      <c r="B8" s="24" t="s">
        <v>129</v>
      </c>
      <c r="C8" s="25" t="s">
        <v>130</v>
      </c>
      <c r="D8" s="26" t="s">
        <v>14</v>
      </c>
      <c r="E8" s="26" t="s">
        <v>15</v>
      </c>
      <c r="F8" s="24" t="s">
        <v>16</v>
      </c>
      <c r="G8" s="24" t="s">
        <v>131</v>
      </c>
      <c r="H8" s="24" t="s">
        <v>132</v>
      </c>
      <c r="I8" s="24" t="s">
        <v>133</v>
      </c>
      <c r="J8" s="24" t="s">
        <v>17</v>
      </c>
      <c r="K8" s="24" t="s">
        <v>18</v>
      </c>
      <c r="L8" s="24" t="s">
        <v>134</v>
      </c>
      <c r="M8" s="24" t="s">
        <v>135</v>
      </c>
    </row>
    <row r="9" spans="2:13" x14ac:dyDescent="0.25">
      <c r="B9" s="27">
        <v>1</v>
      </c>
      <c r="C9" s="28" t="s">
        <v>136</v>
      </c>
      <c r="D9" s="29">
        <f>SUM(D10:D10)</f>
        <v>17.47</v>
      </c>
      <c r="E9" s="29">
        <f>SUM(E10:E10)</f>
        <v>30.58</v>
      </c>
      <c r="F9" s="30" t="s">
        <v>42</v>
      </c>
      <c r="J9" s="16">
        <f>SUM(J10:J10)</f>
        <v>17.47</v>
      </c>
      <c r="K9" s="16">
        <f>SUM(K10:K10)</f>
        <v>30.58</v>
      </c>
      <c r="L9" s="16">
        <f>SUM(L10:L10)</f>
        <v>1.99</v>
      </c>
      <c r="M9" s="16">
        <f>SUM(M10:M10)</f>
        <v>6.7</v>
      </c>
    </row>
    <row r="10" spans="2:13" x14ac:dyDescent="0.25">
      <c r="B10" s="11" t="s">
        <v>42</v>
      </c>
      <c r="C10" s="31" t="s">
        <v>137</v>
      </c>
      <c r="D10" s="32">
        <v>17.47</v>
      </c>
      <c r="E10" s="32">
        <v>30.58</v>
      </c>
      <c r="F10" s="9" t="s">
        <v>138</v>
      </c>
      <c r="G10" t="s">
        <v>139</v>
      </c>
      <c r="H10" t="s">
        <v>42</v>
      </c>
      <c r="I10" t="s">
        <v>140</v>
      </c>
      <c r="J10" s="16">
        <v>17.47</v>
      </c>
      <c r="K10" s="16">
        <v>30.58</v>
      </c>
      <c r="L10" s="16">
        <v>1.99</v>
      </c>
      <c r="M10" s="16">
        <v>6.7</v>
      </c>
    </row>
    <row r="12" spans="2:13" x14ac:dyDescent="0.25">
      <c r="B12" s="27">
        <v>2</v>
      </c>
      <c r="C12" s="28" t="s">
        <v>141</v>
      </c>
      <c r="D12" s="29">
        <f>SUM(D13:D14)</f>
        <v>0</v>
      </c>
      <c r="E12" s="29">
        <f>SUM(E13:E14)</f>
        <v>0</v>
      </c>
      <c r="F12" s="30" t="s">
        <v>42</v>
      </c>
      <c r="J12" s="16">
        <f>SUM(J13:J14)</f>
        <v>5.52</v>
      </c>
      <c r="K12" s="16">
        <f>SUM(K13:K14)</f>
        <v>11.04</v>
      </c>
      <c r="L12" s="16">
        <f>SUM(L13:L14)</f>
        <v>0.69</v>
      </c>
      <c r="M12" s="16">
        <f>SUM(M13:M14)</f>
        <v>2.31</v>
      </c>
    </row>
    <row r="13" spans="2:13" x14ac:dyDescent="0.25">
      <c r="B13" s="11" t="s">
        <v>42</v>
      </c>
      <c r="C13" s="31" t="s">
        <v>142</v>
      </c>
      <c r="D13" s="32">
        <v>0</v>
      </c>
      <c r="E13" s="32">
        <v>0</v>
      </c>
      <c r="F13" s="9" t="s">
        <v>143</v>
      </c>
      <c r="G13" t="s">
        <v>144</v>
      </c>
      <c r="H13" t="s">
        <v>145</v>
      </c>
      <c r="I13" t="s">
        <v>146</v>
      </c>
      <c r="J13" s="16">
        <v>3.9</v>
      </c>
      <c r="K13" s="16">
        <v>7.8</v>
      </c>
      <c r="L13" s="16">
        <v>0.49</v>
      </c>
      <c r="M13" s="16">
        <v>1.63</v>
      </c>
    </row>
    <row r="14" spans="2:13" x14ac:dyDescent="0.25">
      <c r="B14" s="11" t="s">
        <v>42</v>
      </c>
      <c r="C14" s="31" t="s">
        <v>147</v>
      </c>
      <c r="D14" s="32">
        <v>0</v>
      </c>
      <c r="E14" s="32">
        <v>0</v>
      </c>
      <c r="F14" s="9" t="s">
        <v>148</v>
      </c>
      <c r="G14" t="s">
        <v>144</v>
      </c>
      <c r="H14" t="s">
        <v>149</v>
      </c>
      <c r="I14" t="s">
        <v>150</v>
      </c>
      <c r="J14" s="16">
        <v>1.62</v>
      </c>
      <c r="K14" s="16">
        <v>3.24</v>
      </c>
      <c r="L14" s="16">
        <v>0.2</v>
      </c>
      <c r="M14" s="16">
        <v>0.68</v>
      </c>
    </row>
    <row r="16" spans="2:13" x14ac:dyDescent="0.25">
      <c r="B16" s="27">
        <v>3</v>
      </c>
      <c r="C16" s="28" t="s">
        <v>151</v>
      </c>
      <c r="D16" s="29">
        <f>SUM(D17:D18)</f>
        <v>0</v>
      </c>
      <c r="E16" s="29">
        <f>SUM(E17:E18)</f>
        <v>0</v>
      </c>
      <c r="F16" s="30" t="s">
        <v>42</v>
      </c>
      <c r="J16" s="16">
        <f>SUM(J17:J18)</f>
        <v>14.96</v>
      </c>
      <c r="K16" s="16">
        <f>SUM(K17:K18)</f>
        <v>26.72</v>
      </c>
      <c r="L16" s="16">
        <f>SUM(L17:L18)</f>
        <v>1.73</v>
      </c>
      <c r="M16" s="16">
        <f>SUM(M17:M18)</f>
        <v>5.81</v>
      </c>
    </row>
    <row r="17" spans="2:13" x14ac:dyDescent="0.25">
      <c r="B17" s="11" t="s">
        <v>42</v>
      </c>
      <c r="C17" s="31" t="s">
        <v>152</v>
      </c>
      <c r="D17" s="32">
        <v>0</v>
      </c>
      <c r="E17" s="32">
        <v>0</v>
      </c>
      <c r="F17" s="9" t="s">
        <v>153</v>
      </c>
      <c r="G17" t="s">
        <v>144</v>
      </c>
      <c r="H17" t="s">
        <v>154</v>
      </c>
      <c r="I17" t="s">
        <v>155</v>
      </c>
      <c r="J17" s="16">
        <v>2.16</v>
      </c>
      <c r="K17" s="16">
        <v>4.32</v>
      </c>
      <c r="L17" s="16">
        <v>0.27</v>
      </c>
      <c r="M17" s="16">
        <v>0.9</v>
      </c>
    </row>
    <row r="18" spans="2:13" x14ac:dyDescent="0.25">
      <c r="B18" s="11" t="s">
        <v>42</v>
      </c>
      <c r="C18" s="31" t="s">
        <v>156</v>
      </c>
      <c r="D18" s="32">
        <v>0</v>
      </c>
      <c r="E18" s="32">
        <v>0</v>
      </c>
      <c r="F18" s="9" t="s">
        <v>157</v>
      </c>
      <c r="G18" t="s">
        <v>144</v>
      </c>
      <c r="H18" t="s">
        <v>158</v>
      </c>
      <c r="I18" t="s">
        <v>159</v>
      </c>
      <c r="J18" s="16">
        <v>12.8</v>
      </c>
      <c r="K18" s="16">
        <v>22.4</v>
      </c>
      <c r="L18" s="16">
        <v>1.46</v>
      </c>
      <c r="M18" s="16">
        <v>4.91</v>
      </c>
    </row>
    <row r="20" spans="2:13" x14ac:dyDescent="0.25">
      <c r="B20" s="27">
        <v>4</v>
      </c>
      <c r="C20" s="28" t="s">
        <v>160</v>
      </c>
      <c r="D20" s="29">
        <f>SUM(D21:D24)</f>
        <v>13.1</v>
      </c>
      <c r="E20" s="29">
        <f>SUM(E21:E24)</f>
        <v>20.97</v>
      </c>
      <c r="F20" s="30" t="s">
        <v>42</v>
      </c>
      <c r="J20" s="16">
        <f>SUM(J21:J24)</f>
        <v>24.63</v>
      </c>
      <c r="K20" s="16">
        <f>SUM(K21:K24)</f>
        <v>42.22</v>
      </c>
      <c r="L20" s="16">
        <f>SUM(L21:L24)</f>
        <v>2.77</v>
      </c>
      <c r="M20" s="16">
        <f>SUM(M21:M24)</f>
        <v>9.32</v>
      </c>
    </row>
    <row r="21" spans="2:13" x14ac:dyDescent="0.25">
      <c r="B21" s="11" t="s">
        <v>42</v>
      </c>
      <c r="C21" s="31" t="s">
        <v>161</v>
      </c>
      <c r="D21" s="32">
        <v>13.1</v>
      </c>
      <c r="E21" s="32">
        <v>20.97</v>
      </c>
      <c r="F21" s="9" t="s">
        <v>162</v>
      </c>
      <c r="G21" t="s">
        <v>139</v>
      </c>
      <c r="H21" t="s">
        <v>163</v>
      </c>
      <c r="I21" t="s">
        <v>164</v>
      </c>
      <c r="J21" s="16">
        <v>13.1</v>
      </c>
      <c r="K21" s="16">
        <v>20.97</v>
      </c>
      <c r="L21" s="16">
        <v>1.41</v>
      </c>
      <c r="M21" s="16">
        <v>4.75</v>
      </c>
    </row>
    <row r="22" spans="2:13" x14ac:dyDescent="0.25">
      <c r="B22" s="11" t="s">
        <v>42</v>
      </c>
      <c r="C22" s="31" t="s">
        <v>165</v>
      </c>
      <c r="D22" s="32">
        <v>0</v>
      </c>
      <c r="E22" s="32">
        <v>0</v>
      </c>
      <c r="F22" s="9" t="s">
        <v>166</v>
      </c>
      <c r="G22" t="s">
        <v>144</v>
      </c>
      <c r="H22" t="s">
        <v>167</v>
      </c>
      <c r="I22" t="s">
        <v>168</v>
      </c>
      <c r="J22" s="16">
        <v>2.7</v>
      </c>
      <c r="K22" s="16">
        <v>5.4</v>
      </c>
      <c r="L22" s="16">
        <v>0.34</v>
      </c>
      <c r="M22" s="16">
        <v>1.13</v>
      </c>
    </row>
    <row r="23" spans="2:13" x14ac:dyDescent="0.25">
      <c r="B23" s="11" t="s">
        <v>42</v>
      </c>
      <c r="C23" s="31" t="s">
        <v>169</v>
      </c>
      <c r="D23" s="32">
        <v>0</v>
      </c>
      <c r="E23" s="32">
        <v>0</v>
      </c>
      <c r="F23" s="9" t="s">
        <v>170</v>
      </c>
      <c r="G23" t="s">
        <v>144</v>
      </c>
      <c r="H23" t="s">
        <v>171</v>
      </c>
      <c r="I23" t="s">
        <v>172</v>
      </c>
      <c r="J23" s="16">
        <v>1.62</v>
      </c>
      <c r="K23" s="16">
        <v>3.24</v>
      </c>
      <c r="L23" s="16">
        <v>0.2</v>
      </c>
      <c r="M23" s="16">
        <v>0.68</v>
      </c>
    </row>
    <row r="24" spans="2:13" x14ac:dyDescent="0.25">
      <c r="B24" s="11" t="s">
        <v>42</v>
      </c>
      <c r="C24" s="31" t="s">
        <v>173</v>
      </c>
      <c r="D24" s="32">
        <v>0</v>
      </c>
      <c r="E24" s="32">
        <v>0</v>
      </c>
      <c r="F24" s="9" t="s">
        <v>174</v>
      </c>
      <c r="G24" t="s">
        <v>144</v>
      </c>
      <c r="H24" t="s">
        <v>175</v>
      </c>
      <c r="I24" t="s">
        <v>176</v>
      </c>
      <c r="J24" s="16">
        <v>7.21</v>
      </c>
      <c r="K24" s="16">
        <v>12.61</v>
      </c>
      <c r="L24" s="16">
        <v>0.82</v>
      </c>
      <c r="M24" s="16">
        <v>2.76</v>
      </c>
    </row>
    <row r="26" spans="2:13" x14ac:dyDescent="0.25">
      <c r="B26" s="33" t="s">
        <v>42</v>
      </c>
      <c r="C26" s="33" t="s">
        <v>177</v>
      </c>
      <c r="D26" s="34">
        <f>D9+D12+D16+D20</f>
        <v>30.57</v>
      </c>
      <c r="E26" s="34">
        <f>E9+E12+E16+E20</f>
        <v>51.55</v>
      </c>
      <c r="F26" s="35" t="s">
        <v>42</v>
      </c>
      <c r="J26" s="17">
        <f>J9+J12+J16+J20</f>
        <v>62.58</v>
      </c>
      <c r="K26" s="17">
        <f>K9+K12+K16+K20</f>
        <v>110.56</v>
      </c>
      <c r="L26" s="17">
        <f>L9+L12+L16+L20</f>
        <v>7.18</v>
      </c>
      <c r="M26" s="17">
        <f>M9+M12+M16+M20</f>
        <v>24.14</v>
      </c>
    </row>
    <row r="29" spans="2:13" x14ac:dyDescent="0.25">
      <c r="B29" s="24" t="s">
        <v>129</v>
      </c>
      <c r="C29" s="25" t="s">
        <v>178</v>
      </c>
      <c r="D29" s="26" t="s">
        <v>14</v>
      </c>
      <c r="E29" s="26" t="s">
        <v>15</v>
      </c>
      <c r="F29" s="24" t="s">
        <v>16</v>
      </c>
      <c r="G29" s="24" t="s">
        <v>131</v>
      </c>
      <c r="H29" s="24" t="s">
        <v>132</v>
      </c>
      <c r="I29" s="24" t="s">
        <v>133</v>
      </c>
      <c r="J29" s="24" t="s">
        <v>17</v>
      </c>
      <c r="K29" s="24" t="s">
        <v>18</v>
      </c>
      <c r="L29" s="24" t="s">
        <v>134</v>
      </c>
      <c r="M29" s="24" t="s">
        <v>135</v>
      </c>
    </row>
    <row r="30" spans="2:13" x14ac:dyDescent="0.25">
      <c r="B30" s="11">
        <v>1</v>
      </c>
      <c r="C30" s="31" t="s">
        <v>179</v>
      </c>
      <c r="D30" s="32">
        <v>0</v>
      </c>
      <c r="E30" s="32">
        <v>0</v>
      </c>
      <c r="F30" s="9" t="s">
        <v>42</v>
      </c>
      <c r="J30" s="16">
        <v>0</v>
      </c>
      <c r="K30" s="16">
        <v>0</v>
      </c>
      <c r="L30" s="16">
        <v>0</v>
      </c>
      <c r="M30" s="16">
        <v>0</v>
      </c>
    </row>
    <row r="31" spans="2:13" x14ac:dyDescent="0.25">
      <c r="B31" s="33" t="s">
        <v>42</v>
      </c>
      <c r="C31" s="33" t="s">
        <v>180</v>
      </c>
      <c r="D31" s="34">
        <f>SUM(D30:D30)</f>
        <v>0</v>
      </c>
      <c r="E31" s="34">
        <f>SUM(E30:E30)</f>
        <v>0</v>
      </c>
      <c r="F31" s="35" t="s">
        <v>42</v>
      </c>
      <c r="J31" s="17">
        <f>SUM(J30:J30)</f>
        <v>0</v>
      </c>
      <c r="K31" s="17">
        <f>SUM(K30:K30)</f>
        <v>0</v>
      </c>
      <c r="L31" s="17">
        <f>SUM(L30:L30)</f>
        <v>0</v>
      </c>
      <c r="M31" s="17">
        <f>SUM(M30:M30)</f>
        <v>0</v>
      </c>
    </row>
    <row r="34" spans="2:13" x14ac:dyDescent="0.25">
      <c r="B34" s="24" t="s">
        <v>129</v>
      </c>
      <c r="C34" s="25" t="s">
        <v>181</v>
      </c>
      <c r="D34" s="26" t="s">
        <v>14</v>
      </c>
      <c r="E34" s="26" t="s">
        <v>15</v>
      </c>
      <c r="F34" s="24" t="s">
        <v>16</v>
      </c>
      <c r="G34" s="24" t="s">
        <v>131</v>
      </c>
      <c r="H34" s="24" t="s">
        <v>132</v>
      </c>
      <c r="I34" s="24" t="s">
        <v>133</v>
      </c>
      <c r="J34" s="24" t="s">
        <v>17</v>
      </c>
      <c r="K34" s="24" t="s">
        <v>18</v>
      </c>
      <c r="L34" s="24" t="s">
        <v>134</v>
      </c>
      <c r="M34" s="24" t="s">
        <v>135</v>
      </c>
    </row>
    <row r="35" spans="2:13" x14ac:dyDescent="0.25">
      <c r="B35" s="11">
        <v>1</v>
      </c>
      <c r="C35" s="31" t="s">
        <v>179</v>
      </c>
      <c r="D35" s="32">
        <v>0</v>
      </c>
      <c r="E35" s="32">
        <v>0</v>
      </c>
      <c r="F35" s="9" t="s">
        <v>182</v>
      </c>
      <c r="J35" s="16">
        <v>0</v>
      </c>
      <c r="K35" s="16">
        <v>0</v>
      </c>
      <c r="L35" s="16">
        <v>0</v>
      </c>
      <c r="M35" s="16">
        <v>0</v>
      </c>
    </row>
    <row r="36" spans="2:13" x14ac:dyDescent="0.25">
      <c r="B36" s="33" t="s">
        <v>42</v>
      </c>
      <c r="C36" s="33" t="s">
        <v>183</v>
      </c>
      <c r="D36" s="34">
        <f>SUM(D35:D35)</f>
        <v>0</v>
      </c>
      <c r="E36" s="34">
        <f>SUM(E35:E35)</f>
        <v>0</v>
      </c>
      <c r="F36" s="35" t="s">
        <v>42</v>
      </c>
      <c r="J36" s="17">
        <f>SUM(J35:J35)</f>
        <v>0</v>
      </c>
      <c r="K36" s="17">
        <f>SUM(K35:K35)</f>
        <v>0</v>
      </c>
      <c r="L36" s="17">
        <f>SUM(L35:L35)</f>
        <v>0</v>
      </c>
      <c r="M36" s="17">
        <f>SUM(M35:M35)</f>
        <v>0</v>
      </c>
    </row>
    <row r="39" spans="2:6" x14ac:dyDescent="0.25">
      <c r="B39" s="24" t="s">
        <v>129</v>
      </c>
      <c r="C39" s="25" t="s">
        <v>184</v>
      </c>
      <c r="D39" s="25"/>
      <c r="E39" s="25"/>
      <c r="F39" s="25"/>
    </row>
    <row r="40" spans="2:6" x14ac:dyDescent="0.25">
      <c r="B40" s="11">
        <v>1</v>
      </c>
      <c r="C40" s="31" t="s">
        <v>96</v>
      </c>
      <c r="D40" s="31"/>
      <c r="E40" s="31"/>
      <c r="F40" s="31"/>
    </row>
    <row r="41" spans="2:6" x14ac:dyDescent="0.25">
      <c r="B41" s="11">
        <v>2</v>
      </c>
      <c r="C41" s="31" t="s">
        <v>97</v>
      </c>
      <c r="D41" s="31"/>
      <c r="E41" s="31"/>
      <c r="F41" s="31"/>
    </row>
    <row r="42" spans="2:6" x14ac:dyDescent="0.25">
      <c r="B42" s="11">
        <v>3</v>
      </c>
      <c r="C42" s="31" t="s">
        <v>98</v>
      </c>
      <c r="D42" s="31"/>
      <c r="E42" s="31"/>
      <c r="F42" s="31"/>
    </row>
    <row r="43" spans="2:6" x14ac:dyDescent="0.25">
      <c r="B43" s="11">
        <v>4</v>
      </c>
      <c r="C43" s="31" t="s">
        <v>99</v>
      </c>
      <c r="D43" s="31"/>
      <c r="E43" s="31"/>
      <c r="F43" s="31"/>
    </row>
    <row r="44" spans="2:6" x14ac:dyDescent="0.25">
      <c r="B44" s="11">
        <v>5</v>
      </c>
      <c r="C44" s="31" t="s">
        <v>100</v>
      </c>
      <c r="D44" s="31"/>
      <c r="E44" s="31"/>
      <c r="F44" s="31"/>
    </row>
    <row r="45" spans="2:6" x14ac:dyDescent="0.25">
      <c r="B45" s="11">
        <v>6</v>
      </c>
      <c r="C45" s="31" t="s">
        <v>101</v>
      </c>
      <c r="D45" s="31"/>
      <c r="E45" s="31"/>
      <c r="F45" s="31"/>
    </row>
    <row r="46" spans="2:6" x14ac:dyDescent="0.25">
      <c r="B46" s="11">
        <v>7</v>
      </c>
      <c r="C46" s="31" t="s">
        <v>102</v>
      </c>
      <c r="D46" s="31"/>
      <c r="E46" s="31"/>
      <c r="F46" s="31"/>
    </row>
    <row r="47" spans="2:6" x14ac:dyDescent="0.25">
      <c r="B47" s="11">
        <v>8</v>
      </c>
      <c r="C47" s="31" t="s">
        <v>103</v>
      </c>
      <c r="D47" s="31"/>
      <c r="E47" s="31"/>
      <c r="F47" s="31"/>
    </row>
    <row r="48" spans="2:6" x14ac:dyDescent="0.25">
      <c r="B48" s="11">
        <v>9</v>
      </c>
      <c r="C48" s="31" t="s">
        <v>104</v>
      </c>
      <c r="D48" s="31"/>
      <c r="E48" s="31"/>
      <c r="F48" s="31"/>
    </row>
    <row r="49" spans="2:6" x14ac:dyDescent="0.25">
      <c r="B49" s="11">
        <v>10</v>
      </c>
      <c r="C49" s="31" t="s">
        <v>105</v>
      </c>
      <c r="D49" s="31"/>
      <c r="E49" s="31"/>
      <c r="F49" s="31"/>
    </row>
    <row r="50" spans="2:6" x14ac:dyDescent="0.25">
      <c r="B50" s="11">
        <v>11</v>
      </c>
      <c r="C50" s="31" t="s">
        <v>106</v>
      </c>
      <c r="D50" s="31"/>
      <c r="E50" s="31"/>
      <c r="F50" s="31"/>
    </row>
    <row r="51" spans="2:6" x14ac:dyDescent="0.25">
      <c r="B51" s="11">
        <v>12</v>
      </c>
      <c r="C51" s="31" t="s">
        <v>107</v>
      </c>
      <c r="D51" s="31"/>
      <c r="E51" s="31"/>
      <c r="F51" s="31"/>
    </row>
    <row r="52" spans="2:6" x14ac:dyDescent="0.25">
      <c r="B52" s="11">
        <v>13</v>
      </c>
      <c r="C52" s="31" t="s">
        <v>108</v>
      </c>
      <c r="D52" s="31"/>
      <c r="E52" s="31"/>
      <c r="F52" s="31"/>
    </row>
    <row r="53" spans="2:6" x14ac:dyDescent="0.25">
      <c r="B53" s="11">
        <v>14</v>
      </c>
      <c r="C53" s="31" t="s">
        <v>109</v>
      </c>
      <c r="D53" s="31"/>
      <c r="E53" s="31"/>
      <c r="F53" s="31"/>
    </row>
    <row r="54" spans="2:6" x14ac:dyDescent="0.25">
      <c r="B54" s="11">
        <v>15</v>
      </c>
      <c r="C54" s="31" t="s">
        <v>110</v>
      </c>
      <c r="D54" s="31"/>
      <c r="E54" s="31"/>
      <c r="F54" s="31"/>
    </row>
    <row r="55" spans="2:6" x14ac:dyDescent="0.25">
      <c r="B55" s="11">
        <v>16</v>
      </c>
      <c r="C55" s="31" t="s">
        <v>111</v>
      </c>
      <c r="D55" s="31"/>
      <c r="E55" s="31"/>
      <c r="F55" s="31"/>
    </row>
    <row r="56" spans="2:6" x14ac:dyDescent="0.25">
      <c r="B56" s="11">
        <v>17</v>
      </c>
      <c r="C56" s="31" t="s">
        <v>112</v>
      </c>
      <c r="D56" s="31"/>
      <c r="E56" s="31"/>
      <c r="F56" s="31"/>
    </row>
    <row r="57" spans="2:6" x14ac:dyDescent="0.25">
      <c r="B57" s="11">
        <v>18</v>
      </c>
      <c r="C57" s="31" t="s">
        <v>113</v>
      </c>
      <c r="D57" s="31"/>
      <c r="E57" s="31"/>
      <c r="F57" s="31"/>
    </row>
    <row r="58" spans="2:6" x14ac:dyDescent="0.25">
      <c r="B58" s="11">
        <v>19</v>
      </c>
      <c r="C58" s="31" t="s">
        <v>114</v>
      </c>
      <c r="D58" s="31"/>
      <c r="E58" s="31"/>
      <c r="F58" s="31"/>
    </row>
    <row r="59" spans="2:6" x14ac:dyDescent="0.25">
      <c r="B59" s="11">
        <v>20</v>
      </c>
      <c r="C59" s="31" t="s">
        <v>115</v>
      </c>
      <c r="D59" s="31"/>
      <c r="E59" s="31"/>
      <c r="F59" s="31"/>
    </row>
    <row r="60" spans="2:6" x14ac:dyDescent="0.25">
      <c r="B60" s="11">
        <v>21</v>
      </c>
      <c r="C60" s="31" t="s">
        <v>116</v>
      </c>
      <c r="D60" s="31"/>
      <c r="E60" s="31"/>
      <c r="F60" s="31"/>
    </row>
    <row r="61" spans="2:6" x14ac:dyDescent="0.25">
      <c r="B61" s="11">
        <v>22</v>
      </c>
      <c r="C61" s="31" t="s">
        <v>117</v>
      </c>
      <c r="D61" s="31"/>
      <c r="E61" s="31"/>
      <c r="F61" s="31"/>
    </row>
    <row r="62" spans="2:6" x14ac:dyDescent="0.25">
      <c r="B62" s="11">
        <v>23</v>
      </c>
      <c r="C62" s="31" t="s">
        <v>118</v>
      </c>
      <c r="D62" s="31"/>
      <c r="E62" s="31"/>
      <c r="F62" s="31"/>
    </row>
    <row r="63" spans="2:6" x14ac:dyDescent="0.25">
      <c r="B63" s="11">
        <v>24</v>
      </c>
      <c r="C63" s="31" t="s">
        <v>119</v>
      </c>
      <c r="D63" s="31"/>
      <c r="E63" s="31"/>
      <c r="F63" s="31"/>
    </row>
    <row r="64" spans="2:6" x14ac:dyDescent="0.25">
      <c r="B64" s="11">
        <v>25</v>
      </c>
      <c r="C64" s="31" t="s">
        <v>120</v>
      </c>
      <c r="D64" s="31"/>
      <c r="E64" s="31"/>
      <c r="F64" s="31"/>
    </row>
    <row r="65" spans="2:6" x14ac:dyDescent="0.25">
      <c r="B65" s="11">
        <v>26</v>
      </c>
      <c r="C65" s="31" t="s">
        <v>121</v>
      </c>
      <c r="D65" s="31"/>
      <c r="E65" s="31"/>
      <c r="F65" s="31"/>
    </row>
    <row r="66" spans="2:6" x14ac:dyDescent="0.25">
      <c r="B66" s="11">
        <v>27</v>
      </c>
      <c r="C66" s="31" t="s">
        <v>122</v>
      </c>
      <c r="D66" s="31"/>
      <c r="E66" s="31"/>
      <c r="F66" s="31"/>
    </row>
    <row r="67" spans="2:6" x14ac:dyDescent="0.25">
      <c r="B67" s="11">
        <v>28</v>
      </c>
      <c r="C67" s="31" t="s">
        <v>123</v>
      </c>
      <c r="D67" s="31"/>
      <c r="E67" s="31"/>
      <c r="F67" s="31"/>
    </row>
    <row r="70" spans="2:6" x14ac:dyDescent="0.25">
      <c r="B70" s="24" t="s">
        <v>129</v>
      </c>
      <c r="C70" s="25" t="s">
        <v>185</v>
      </c>
      <c r="D70" s="25"/>
      <c r="E70" s="25"/>
      <c r="F70" s="25"/>
    </row>
    <row r="71" spans="2:6" x14ac:dyDescent="0.25">
      <c r="B71" s="11">
        <v>1</v>
      </c>
      <c r="C71" s="31" t="s">
        <v>186</v>
      </c>
      <c r="D71" s="31"/>
      <c r="E71" s="31"/>
      <c r="F71" s="31"/>
    </row>
  </sheetData>
  <mergeCells count="34">
    <mergeCell ref="B2:F2"/>
    <mergeCell ref="B3:F3"/>
    <mergeCell ref="B4:F4"/>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70:F70"/>
    <mergeCell ref="C71:F7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21"/>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3" width="12" customWidth="1"/>
    <col min="14" max="26" width="7.75" customWidth="1"/>
  </cols>
  <sheetData>
    <row r="2" spans="2:6" x14ac:dyDescent="0.25">
      <c r="B2" s="18" t="s">
        <v>124</v>
      </c>
      <c r="C2" s="18"/>
      <c r="D2" s="18"/>
      <c r="E2" s="18"/>
      <c r="F2" s="18"/>
    </row>
    <row r="3" spans="2:6" x14ac:dyDescent="0.25">
      <c r="B3" s="19" t="s">
        <v>8</v>
      </c>
      <c r="C3" s="19"/>
      <c r="D3" s="19"/>
      <c r="E3" s="19"/>
      <c r="F3" s="19"/>
    </row>
    <row r="4" spans="2:6" x14ac:dyDescent="0.25">
      <c r="B4" s="20" t="s">
        <v>125</v>
      </c>
      <c r="C4" s="20"/>
      <c r="D4" s="20"/>
      <c r="E4" s="20"/>
      <c r="F4" s="20"/>
    </row>
    <row r="5" spans="2:2" x14ac:dyDescent="0.25">
      <c r="B5" s="36" t="s">
        <v>187</v>
      </c>
    </row>
    <row r="6" spans="3:11" x14ac:dyDescent="0.25">
      <c r="C6" s="21" t="s">
        <v>126</v>
      </c>
      <c r="D6" s="22">
        <f>D11+D16+D21</f>
        <v>0</v>
      </c>
      <c r="E6" s="22">
        <f>E11+E16+E21</f>
        <v>0</v>
      </c>
      <c r="F6" s="23" t="s">
        <v>127</v>
      </c>
      <c r="I6" s="21" t="s">
        <v>128</v>
      </c>
      <c r="J6" s="22">
        <f>J11+J16+J21</f>
        <v>0</v>
      </c>
      <c r="K6" s="22">
        <f>K11+K16+K21</f>
        <v>0</v>
      </c>
    </row>
    <row r="8" spans="2:13" x14ac:dyDescent="0.25">
      <c r="B8" s="24" t="s">
        <v>129</v>
      </c>
      <c r="C8" s="25" t="s">
        <v>130</v>
      </c>
      <c r="D8" s="26" t="s">
        <v>14</v>
      </c>
      <c r="E8" s="26" t="s">
        <v>15</v>
      </c>
      <c r="F8" s="24" t="s">
        <v>16</v>
      </c>
      <c r="G8" s="24" t="s">
        <v>131</v>
      </c>
      <c r="H8" s="24" t="s">
        <v>132</v>
      </c>
      <c r="I8" s="24" t="s">
        <v>133</v>
      </c>
      <c r="J8" s="24" t="s">
        <v>17</v>
      </c>
      <c r="K8" s="24" t="s">
        <v>18</v>
      </c>
      <c r="L8" s="24" t="s">
        <v>134</v>
      </c>
      <c r="M8" s="24" t="s">
        <v>135</v>
      </c>
    </row>
    <row r="9" spans="3:13" x14ac:dyDescent="0.25">
      <c r="C9" s="31" t="s">
        <v>179</v>
      </c>
      <c r="D9" s="32">
        <v>0</v>
      </c>
      <c r="E9" s="32">
        <v>0</v>
      </c>
      <c r="J9" s="16">
        <v>0</v>
      </c>
      <c r="K9" s="16">
        <v>0</v>
      </c>
      <c r="L9" s="16">
        <v>0</v>
      </c>
      <c r="M9" s="16">
        <v>0</v>
      </c>
    </row>
    <row r="11" spans="2:13" x14ac:dyDescent="0.25">
      <c r="B11" s="33" t="s">
        <v>42</v>
      </c>
      <c r="C11" s="33" t="s">
        <v>177</v>
      </c>
      <c r="D11" s="34">
        <f>D9</f>
        <v>0</v>
      </c>
      <c r="E11" s="34">
        <f>E9</f>
        <v>0</v>
      </c>
      <c r="F11" s="35" t="s">
        <v>42</v>
      </c>
      <c r="J11" s="17">
        <f>J9</f>
        <v>0</v>
      </c>
      <c r="K11" s="17">
        <f>K9</f>
        <v>0</v>
      </c>
      <c r="L11" s="17">
        <f>L9</f>
        <v>0</v>
      </c>
      <c r="M11" s="17">
        <f>M9</f>
        <v>0</v>
      </c>
    </row>
    <row r="14" spans="2:13" x14ac:dyDescent="0.25">
      <c r="B14" s="24" t="s">
        <v>129</v>
      </c>
      <c r="C14" s="25" t="s">
        <v>178</v>
      </c>
      <c r="D14" s="26" t="s">
        <v>14</v>
      </c>
      <c r="E14" s="26" t="s">
        <v>15</v>
      </c>
      <c r="F14" s="24" t="s">
        <v>16</v>
      </c>
      <c r="G14" s="24" t="s">
        <v>131</v>
      </c>
      <c r="H14" s="24" t="s">
        <v>132</v>
      </c>
      <c r="I14" s="24" t="s">
        <v>133</v>
      </c>
      <c r="J14" s="24" t="s">
        <v>17</v>
      </c>
      <c r="K14" s="24" t="s">
        <v>18</v>
      </c>
      <c r="L14" s="24" t="s">
        <v>134</v>
      </c>
      <c r="M14" s="24" t="s">
        <v>135</v>
      </c>
    </row>
    <row r="15" spans="2:13" x14ac:dyDescent="0.25">
      <c r="B15" s="11">
        <v>1</v>
      </c>
      <c r="C15" s="31" t="s">
        <v>179</v>
      </c>
      <c r="D15" s="32">
        <v>0</v>
      </c>
      <c r="E15" s="32">
        <v>0</v>
      </c>
      <c r="F15" s="9" t="s">
        <v>42</v>
      </c>
      <c r="J15" s="16">
        <v>0</v>
      </c>
      <c r="K15" s="16">
        <v>0</v>
      </c>
      <c r="L15" s="16">
        <v>0</v>
      </c>
      <c r="M15" s="16">
        <v>0</v>
      </c>
    </row>
    <row r="16" spans="2:13" x14ac:dyDescent="0.25">
      <c r="B16" s="33" t="s">
        <v>42</v>
      </c>
      <c r="C16" s="33" t="s">
        <v>180</v>
      </c>
      <c r="D16" s="34">
        <f>SUM(D15:D15)</f>
        <v>0</v>
      </c>
      <c r="E16" s="34">
        <f>SUM(E15:E15)</f>
        <v>0</v>
      </c>
      <c r="F16" s="35" t="s">
        <v>42</v>
      </c>
      <c r="J16" s="17">
        <f>SUM(J15:J15)</f>
        <v>0</v>
      </c>
      <c r="K16" s="17">
        <f>SUM(K15:K15)</f>
        <v>0</v>
      </c>
      <c r="L16" s="17">
        <f>SUM(L15:L15)</f>
        <v>0</v>
      </c>
      <c r="M16" s="17">
        <f>SUM(M15:M15)</f>
        <v>0</v>
      </c>
    </row>
    <row r="19" spans="2:13" x14ac:dyDescent="0.25">
      <c r="B19" s="24" t="s">
        <v>129</v>
      </c>
      <c r="C19" s="25" t="s">
        <v>181</v>
      </c>
      <c r="D19" s="26" t="s">
        <v>14</v>
      </c>
      <c r="E19" s="26" t="s">
        <v>15</v>
      </c>
      <c r="F19" s="24" t="s">
        <v>16</v>
      </c>
      <c r="G19" s="24" t="s">
        <v>131</v>
      </c>
      <c r="H19" s="24" t="s">
        <v>132</v>
      </c>
      <c r="I19" s="24" t="s">
        <v>133</v>
      </c>
      <c r="J19" s="24" t="s">
        <v>17</v>
      </c>
      <c r="K19" s="24" t="s">
        <v>18</v>
      </c>
      <c r="L19" s="24" t="s">
        <v>134</v>
      </c>
      <c r="M19" s="24" t="s">
        <v>135</v>
      </c>
    </row>
    <row r="20" spans="2:13" x14ac:dyDescent="0.25">
      <c r="B20" s="11">
        <v>1</v>
      </c>
      <c r="C20" s="31" t="s">
        <v>179</v>
      </c>
      <c r="D20" s="32">
        <v>0</v>
      </c>
      <c r="E20" s="32">
        <v>0</v>
      </c>
      <c r="F20" s="9" t="s">
        <v>182</v>
      </c>
      <c r="J20" s="16">
        <v>0</v>
      </c>
      <c r="K20" s="16">
        <v>0</v>
      </c>
      <c r="L20" s="16">
        <v>0</v>
      </c>
      <c r="M20" s="16">
        <v>0</v>
      </c>
    </row>
    <row r="21" spans="2:13" x14ac:dyDescent="0.25">
      <c r="B21" s="33" t="s">
        <v>42</v>
      </c>
      <c r="C21" s="33" t="s">
        <v>183</v>
      </c>
      <c r="D21" s="34">
        <f>SUM(D20:D20)</f>
        <v>0</v>
      </c>
      <c r="E21" s="34">
        <f>SUM(E20:E20)</f>
        <v>0</v>
      </c>
      <c r="F21" s="35" t="s">
        <v>42</v>
      </c>
      <c r="J21" s="17">
        <f>SUM(J20:J20)</f>
        <v>0</v>
      </c>
      <c r="K21" s="17">
        <f>SUM(K20:K20)</f>
        <v>0</v>
      </c>
      <c r="L21" s="17">
        <f>SUM(L20:L20)</f>
        <v>0</v>
      </c>
      <c r="M21" s="17">
        <f>SUM(M20:M20)</f>
        <v>0</v>
      </c>
    </row>
  </sheetData>
  <mergeCells count="3">
    <mergeCell ref="B2:F2"/>
    <mergeCell ref="B3:F3"/>
    <mergeCell ref="B4:F4"/>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70"/>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3" width="12" customWidth="1"/>
    <col min="14" max="26" width="7.75" customWidth="1"/>
  </cols>
  <sheetData>
    <row r="2" spans="2:6" x14ac:dyDescent="0.25">
      <c r="B2" s="18" t="s">
        <v>124</v>
      </c>
      <c r="C2" s="18"/>
      <c r="D2" s="18"/>
      <c r="E2" s="18"/>
      <c r="F2" s="18"/>
    </row>
    <row r="3" spans="2:6" x14ac:dyDescent="0.25">
      <c r="B3" s="19" t="s">
        <v>8</v>
      </c>
      <c r="C3" s="19"/>
      <c r="D3" s="19"/>
      <c r="E3" s="19"/>
      <c r="F3" s="19"/>
    </row>
    <row r="4" spans="2:6" x14ac:dyDescent="0.25">
      <c r="B4" s="20" t="s">
        <v>125</v>
      </c>
      <c r="C4" s="20"/>
      <c r="D4" s="20"/>
      <c r="E4" s="20"/>
      <c r="F4" s="20"/>
    </row>
    <row r="6" spans="3:11" x14ac:dyDescent="0.25">
      <c r="C6" s="21" t="s">
        <v>126</v>
      </c>
      <c r="D6" s="22">
        <f>D25+D30+D35</f>
        <v>6.55</v>
      </c>
      <c r="E6" s="22">
        <f>E25+E30+E35</f>
        <v>13.1</v>
      </c>
      <c r="F6" s="23" t="s">
        <v>127</v>
      </c>
      <c r="I6" s="21" t="s">
        <v>128</v>
      </c>
      <c r="J6" s="22">
        <f>J25+J30+J35</f>
        <v>65.37</v>
      </c>
      <c r="K6" s="22">
        <f>K25+K30+K35</f>
        <v>109.28</v>
      </c>
    </row>
    <row r="8" spans="2:13" x14ac:dyDescent="0.25">
      <c r="B8" s="24" t="s">
        <v>129</v>
      </c>
      <c r="C8" s="25" t="s">
        <v>130</v>
      </c>
      <c r="D8" s="26" t="s">
        <v>14</v>
      </c>
      <c r="E8" s="26" t="s">
        <v>15</v>
      </c>
      <c r="F8" s="24" t="s">
        <v>16</v>
      </c>
      <c r="G8" s="24" t="s">
        <v>131</v>
      </c>
      <c r="H8" s="24" t="s">
        <v>132</v>
      </c>
      <c r="I8" s="24" t="s">
        <v>133</v>
      </c>
      <c r="J8" s="24" t="s">
        <v>17</v>
      </c>
      <c r="K8" s="24" t="s">
        <v>18</v>
      </c>
      <c r="L8" s="24" t="s">
        <v>134</v>
      </c>
      <c r="M8" s="24" t="s">
        <v>135</v>
      </c>
    </row>
    <row r="9" spans="2:13" x14ac:dyDescent="0.25">
      <c r="B9" s="27">
        <v>1</v>
      </c>
      <c r="C9" s="28" t="s">
        <v>136</v>
      </c>
      <c r="D9" s="29">
        <f>SUM(D10:D11)</f>
        <v>6.55</v>
      </c>
      <c r="E9" s="29">
        <f>SUM(E10:E11)</f>
        <v>13.1</v>
      </c>
      <c r="F9" s="30" t="s">
        <v>42</v>
      </c>
      <c r="J9" s="16">
        <f>SUM(J10:J11)</f>
        <v>12.31</v>
      </c>
      <c r="K9" s="16">
        <f>SUM(K10:K11)</f>
        <v>23.18</v>
      </c>
      <c r="L9" s="16">
        <f>SUM(L10:L11)</f>
        <v>1.47</v>
      </c>
      <c r="M9" s="16">
        <f>SUM(M10:M11)</f>
        <v>4.95</v>
      </c>
    </row>
    <row r="10" spans="2:13" x14ac:dyDescent="0.25">
      <c r="B10" s="11" t="s">
        <v>42</v>
      </c>
      <c r="C10" s="31" t="s">
        <v>188</v>
      </c>
      <c r="D10" s="32">
        <v>0</v>
      </c>
      <c r="E10" s="32">
        <v>0</v>
      </c>
      <c r="F10" s="9" t="s">
        <v>189</v>
      </c>
      <c r="G10" t="s">
        <v>144</v>
      </c>
      <c r="H10" t="s">
        <v>190</v>
      </c>
      <c r="I10" t="s">
        <v>191</v>
      </c>
      <c r="J10" s="16">
        <v>5.76</v>
      </c>
      <c r="K10" s="16">
        <v>10.08</v>
      </c>
      <c r="L10" s="16">
        <v>0.66</v>
      </c>
      <c r="M10" s="16">
        <v>2.21</v>
      </c>
    </row>
    <row r="11" spans="2:13" x14ac:dyDescent="0.25">
      <c r="B11" s="11" t="s">
        <v>42</v>
      </c>
      <c r="C11" s="31" t="s">
        <v>192</v>
      </c>
      <c r="D11" s="32">
        <v>6.55</v>
      </c>
      <c r="E11" s="32">
        <v>13.1</v>
      </c>
      <c r="F11" s="9" t="s">
        <v>193</v>
      </c>
      <c r="G11" t="s">
        <v>139</v>
      </c>
      <c r="H11" t="s">
        <v>42</v>
      </c>
      <c r="I11" t="s">
        <v>194</v>
      </c>
      <c r="J11" s="16">
        <v>6.55</v>
      </c>
      <c r="K11" s="16">
        <v>13.1</v>
      </c>
      <c r="L11" s="16">
        <v>0.81</v>
      </c>
      <c r="M11" s="16">
        <v>2.74</v>
      </c>
    </row>
    <row r="13" spans="2:13" x14ac:dyDescent="0.25">
      <c r="B13" s="27">
        <v>2</v>
      </c>
      <c r="C13" s="28" t="s">
        <v>141</v>
      </c>
      <c r="D13" s="29">
        <f>SUM(D14:D14)</f>
        <v>0</v>
      </c>
      <c r="E13" s="29">
        <f>SUM(E14:E14)</f>
        <v>0</v>
      </c>
      <c r="F13" s="30" t="s">
        <v>42</v>
      </c>
      <c r="J13" s="16">
        <f>SUM(J14:J14)</f>
        <v>6</v>
      </c>
      <c r="K13" s="16">
        <f>SUM(K14:K14)</f>
        <v>10</v>
      </c>
      <c r="L13" s="16">
        <f>SUM(L14:L14)</f>
        <v>0.66</v>
      </c>
      <c r="M13" s="16">
        <f>SUM(M14:M14)</f>
        <v>2.23</v>
      </c>
    </row>
    <row r="14" spans="2:13" x14ac:dyDescent="0.25">
      <c r="B14" s="11" t="s">
        <v>42</v>
      </c>
      <c r="C14" s="31" t="s">
        <v>195</v>
      </c>
      <c r="D14" s="32">
        <v>0</v>
      </c>
      <c r="E14" s="32">
        <v>0</v>
      </c>
      <c r="F14" s="9" t="s">
        <v>196</v>
      </c>
      <c r="G14" t="s">
        <v>144</v>
      </c>
      <c r="H14" t="s">
        <v>197</v>
      </c>
      <c r="I14" t="s">
        <v>198</v>
      </c>
      <c r="J14" s="16">
        <v>6</v>
      </c>
      <c r="K14" s="16">
        <v>10</v>
      </c>
      <c r="L14" s="16">
        <v>0.66</v>
      </c>
      <c r="M14" s="16">
        <v>2.23</v>
      </c>
    </row>
    <row r="16" spans="2:13" x14ac:dyDescent="0.25">
      <c r="B16" s="27">
        <v>3</v>
      </c>
      <c r="C16" s="28" t="s">
        <v>199</v>
      </c>
      <c r="D16" s="29">
        <f>SUM(D17:D19)</f>
        <v>0</v>
      </c>
      <c r="E16" s="29">
        <f>SUM(E17:E19)</f>
        <v>0</v>
      </c>
      <c r="F16" s="30" t="s">
        <v>42</v>
      </c>
      <c r="J16" s="16">
        <f>SUM(J17:J19)</f>
        <v>31.66</v>
      </c>
      <c r="K16" s="16">
        <f>SUM(K17:K19)</f>
        <v>50.9</v>
      </c>
      <c r="L16" s="16">
        <f>SUM(L17:L19)</f>
        <v>3.43</v>
      </c>
      <c r="M16" s="16">
        <f>SUM(M17:M19)</f>
        <v>11.51</v>
      </c>
    </row>
    <row r="17" spans="2:13" x14ac:dyDescent="0.25">
      <c r="B17" s="11" t="s">
        <v>42</v>
      </c>
      <c r="C17" s="31" t="s">
        <v>200</v>
      </c>
      <c r="D17" s="32">
        <v>0</v>
      </c>
      <c r="E17" s="32">
        <v>0</v>
      </c>
      <c r="F17" s="9" t="s">
        <v>201</v>
      </c>
      <c r="G17" t="s">
        <v>144</v>
      </c>
      <c r="H17" t="s">
        <v>202</v>
      </c>
      <c r="I17" t="s">
        <v>203</v>
      </c>
      <c r="J17" s="16">
        <v>7.02</v>
      </c>
      <c r="K17" s="16">
        <v>11.7</v>
      </c>
      <c r="L17" s="16">
        <v>0.78</v>
      </c>
      <c r="M17" s="16">
        <v>2.61</v>
      </c>
    </row>
    <row r="18" spans="2:13" x14ac:dyDescent="0.25">
      <c r="B18" s="11" t="s">
        <v>42</v>
      </c>
      <c r="C18" s="31" t="s">
        <v>204</v>
      </c>
      <c r="D18" s="32">
        <v>0</v>
      </c>
      <c r="E18" s="32">
        <v>0</v>
      </c>
      <c r="F18" s="9" t="s">
        <v>205</v>
      </c>
      <c r="G18" t="s">
        <v>144</v>
      </c>
      <c r="H18" t="s">
        <v>206</v>
      </c>
      <c r="I18" t="s">
        <v>207</v>
      </c>
      <c r="J18" s="16">
        <v>19.6</v>
      </c>
      <c r="K18" s="16">
        <v>30.8</v>
      </c>
      <c r="L18" s="16">
        <v>2.09</v>
      </c>
      <c r="M18" s="16">
        <v>7.03</v>
      </c>
    </row>
    <row r="19" spans="2:13" x14ac:dyDescent="0.25">
      <c r="B19" s="11" t="s">
        <v>42</v>
      </c>
      <c r="C19" s="31" t="s">
        <v>208</v>
      </c>
      <c r="D19" s="32">
        <v>0</v>
      </c>
      <c r="E19" s="32">
        <v>0</v>
      </c>
      <c r="F19" s="9" t="s">
        <v>209</v>
      </c>
      <c r="G19" t="s">
        <v>144</v>
      </c>
      <c r="H19" t="s">
        <v>210</v>
      </c>
      <c r="I19" t="s">
        <v>211</v>
      </c>
      <c r="J19" s="16">
        <v>5.04</v>
      </c>
      <c r="K19" s="16">
        <v>8.4</v>
      </c>
      <c r="L19" s="16">
        <v>0.56</v>
      </c>
      <c r="M19" s="16">
        <v>1.87</v>
      </c>
    </row>
    <row r="21" spans="2:13" x14ac:dyDescent="0.25">
      <c r="B21" s="27">
        <v>4</v>
      </c>
      <c r="C21" s="28" t="s">
        <v>160</v>
      </c>
      <c r="D21" s="29">
        <f>SUM(D22:D23)</f>
        <v>0</v>
      </c>
      <c r="E21" s="29">
        <f>SUM(E22:E23)</f>
        <v>0</v>
      </c>
      <c r="F21" s="30" t="s">
        <v>42</v>
      </c>
      <c r="J21" s="16">
        <f>SUM(J22:J23)</f>
        <v>15.4</v>
      </c>
      <c r="K21" s="16">
        <f>SUM(K22:K23)</f>
        <v>25.2</v>
      </c>
      <c r="L21" s="16">
        <f>SUM(L22:L23)</f>
        <v>1.68</v>
      </c>
      <c r="M21" s="16">
        <f>SUM(M22:M23)</f>
        <v>5.66</v>
      </c>
    </row>
    <row r="22" spans="2:13" x14ac:dyDescent="0.25">
      <c r="B22" s="11" t="s">
        <v>42</v>
      </c>
      <c r="C22" s="31" t="s">
        <v>212</v>
      </c>
      <c r="D22" s="32">
        <v>0</v>
      </c>
      <c r="E22" s="32">
        <v>0</v>
      </c>
      <c r="F22" s="9" t="s">
        <v>213</v>
      </c>
      <c r="G22" t="s">
        <v>144</v>
      </c>
      <c r="H22" t="s">
        <v>214</v>
      </c>
      <c r="I22" t="s">
        <v>215</v>
      </c>
      <c r="J22" s="16">
        <v>8.4</v>
      </c>
      <c r="K22" s="16">
        <v>14</v>
      </c>
      <c r="L22" s="16">
        <v>0.93</v>
      </c>
      <c r="M22" s="16">
        <v>3.12</v>
      </c>
    </row>
    <row r="23" spans="2:13" x14ac:dyDescent="0.25">
      <c r="B23" s="11" t="s">
        <v>42</v>
      </c>
      <c r="C23" s="31" t="s">
        <v>216</v>
      </c>
      <c r="D23" s="32">
        <v>0</v>
      </c>
      <c r="E23" s="32">
        <v>0</v>
      </c>
      <c r="F23" s="9" t="s">
        <v>217</v>
      </c>
      <c r="G23" t="s">
        <v>144</v>
      </c>
      <c r="H23" t="s">
        <v>218</v>
      </c>
      <c r="I23" t="s">
        <v>219</v>
      </c>
      <c r="J23" s="16">
        <v>7</v>
      </c>
      <c r="K23" s="16">
        <v>11.2</v>
      </c>
      <c r="L23" s="16">
        <v>0.75</v>
      </c>
      <c r="M23" s="16">
        <v>2.54</v>
      </c>
    </row>
    <row r="25" spans="2:13" x14ac:dyDescent="0.25">
      <c r="B25" s="33" t="s">
        <v>42</v>
      </c>
      <c r="C25" s="33" t="s">
        <v>177</v>
      </c>
      <c r="D25" s="34">
        <f>D9+D13+D16+D21</f>
        <v>6.55</v>
      </c>
      <c r="E25" s="34">
        <f>E9+E13+E16+E21</f>
        <v>13.1</v>
      </c>
      <c r="F25" s="35" t="s">
        <v>42</v>
      </c>
      <c r="J25" s="17">
        <f>J9+J13+J16+J21</f>
        <v>65.37</v>
      </c>
      <c r="K25" s="17">
        <f>K9+K13+K16+K21</f>
        <v>109.28</v>
      </c>
      <c r="L25" s="17">
        <f>L9+L13+L16+L21</f>
        <v>7.24</v>
      </c>
      <c r="M25" s="17">
        <f>M9+M13+M16+M21</f>
        <v>24.35</v>
      </c>
    </row>
    <row r="28" spans="2:13" x14ac:dyDescent="0.25">
      <c r="B28" s="24" t="s">
        <v>129</v>
      </c>
      <c r="C28" s="25" t="s">
        <v>178</v>
      </c>
      <c r="D28" s="26" t="s">
        <v>14</v>
      </c>
      <c r="E28" s="26" t="s">
        <v>15</v>
      </c>
      <c r="F28" s="24" t="s">
        <v>16</v>
      </c>
      <c r="G28" s="24" t="s">
        <v>131</v>
      </c>
      <c r="H28" s="24" t="s">
        <v>132</v>
      </c>
      <c r="I28" s="24" t="s">
        <v>133</v>
      </c>
      <c r="J28" s="24" t="s">
        <v>17</v>
      </c>
      <c r="K28" s="24" t="s">
        <v>18</v>
      </c>
      <c r="L28" s="24" t="s">
        <v>134</v>
      </c>
      <c r="M28" s="24" t="s">
        <v>135</v>
      </c>
    </row>
    <row r="29" spans="2:13" x14ac:dyDescent="0.25">
      <c r="B29" s="11">
        <v>1</v>
      </c>
      <c r="C29" s="31" t="s">
        <v>179</v>
      </c>
      <c r="D29" s="32">
        <v>0</v>
      </c>
      <c r="E29" s="32">
        <v>0</v>
      </c>
      <c r="F29" s="9" t="s">
        <v>42</v>
      </c>
      <c r="J29" s="16">
        <v>0</v>
      </c>
      <c r="K29" s="16">
        <v>0</v>
      </c>
      <c r="L29" s="16">
        <v>0</v>
      </c>
      <c r="M29" s="16">
        <v>0</v>
      </c>
    </row>
    <row r="30" spans="2:13" x14ac:dyDescent="0.25">
      <c r="B30" s="33" t="s">
        <v>42</v>
      </c>
      <c r="C30" s="33" t="s">
        <v>180</v>
      </c>
      <c r="D30" s="34">
        <f>SUM(D29:D29)</f>
        <v>0</v>
      </c>
      <c r="E30" s="34">
        <f>SUM(E29:E29)</f>
        <v>0</v>
      </c>
      <c r="F30" s="35" t="s">
        <v>42</v>
      </c>
      <c r="J30" s="17">
        <f>SUM(J29:J29)</f>
        <v>0</v>
      </c>
      <c r="K30" s="17">
        <f>SUM(K29:K29)</f>
        <v>0</v>
      </c>
      <c r="L30" s="17">
        <f>SUM(L29:L29)</f>
        <v>0</v>
      </c>
      <c r="M30" s="17">
        <f>SUM(M29:M29)</f>
        <v>0</v>
      </c>
    </row>
    <row r="33" spans="2:13" x14ac:dyDescent="0.25">
      <c r="B33" s="24" t="s">
        <v>129</v>
      </c>
      <c r="C33" s="25" t="s">
        <v>181</v>
      </c>
      <c r="D33" s="26" t="s">
        <v>14</v>
      </c>
      <c r="E33" s="26" t="s">
        <v>15</v>
      </c>
      <c r="F33" s="24" t="s">
        <v>16</v>
      </c>
      <c r="G33" s="24" t="s">
        <v>131</v>
      </c>
      <c r="H33" s="24" t="s">
        <v>132</v>
      </c>
      <c r="I33" s="24" t="s">
        <v>133</v>
      </c>
      <c r="J33" s="24" t="s">
        <v>17</v>
      </c>
      <c r="K33" s="24" t="s">
        <v>18</v>
      </c>
      <c r="L33" s="24" t="s">
        <v>134</v>
      </c>
      <c r="M33" s="24" t="s">
        <v>135</v>
      </c>
    </row>
    <row r="34" spans="2:13" x14ac:dyDescent="0.25">
      <c r="B34" s="11">
        <v>1</v>
      </c>
      <c r="C34" s="31" t="s">
        <v>179</v>
      </c>
      <c r="D34" s="32">
        <v>0</v>
      </c>
      <c r="E34" s="32">
        <v>0</v>
      </c>
      <c r="F34" s="9" t="s">
        <v>182</v>
      </c>
      <c r="J34" s="16">
        <v>0</v>
      </c>
      <c r="K34" s="16">
        <v>0</v>
      </c>
      <c r="L34" s="16">
        <v>0</v>
      </c>
      <c r="M34" s="16">
        <v>0</v>
      </c>
    </row>
    <row r="35" spans="2:13" x14ac:dyDescent="0.25">
      <c r="B35" s="33" t="s">
        <v>42</v>
      </c>
      <c r="C35" s="33" t="s">
        <v>183</v>
      </c>
      <c r="D35" s="34">
        <f>SUM(D34:D34)</f>
        <v>0</v>
      </c>
      <c r="E35" s="34">
        <f>SUM(E34:E34)</f>
        <v>0</v>
      </c>
      <c r="F35" s="35" t="s">
        <v>42</v>
      </c>
      <c r="J35" s="17">
        <f>SUM(J34:J34)</f>
        <v>0</v>
      </c>
      <c r="K35" s="17">
        <f>SUM(K34:K34)</f>
        <v>0</v>
      </c>
      <c r="L35" s="17">
        <f>SUM(L34:L34)</f>
        <v>0</v>
      </c>
      <c r="M35" s="17">
        <f>SUM(M34:M34)</f>
        <v>0</v>
      </c>
    </row>
    <row r="38" spans="2:6" x14ac:dyDescent="0.25">
      <c r="B38" s="24" t="s">
        <v>129</v>
      </c>
      <c r="C38" s="25" t="s">
        <v>184</v>
      </c>
      <c r="D38" s="25"/>
      <c r="E38" s="25"/>
      <c r="F38" s="25"/>
    </row>
    <row r="39" spans="2:6" x14ac:dyDescent="0.25">
      <c r="B39" s="11">
        <v>1</v>
      </c>
      <c r="C39" s="31" t="s">
        <v>96</v>
      </c>
      <c r="D39" s="31"/>
      <c r="E39" s="31"/>
      <c r="F39" s="31"/>
    </row>
    <row r="40" spans="2:6" x14ac:dyDescent="0.25">
      <c r="B40" s="11">
        <v>2</v>
      </c>
      <c r="C40" s="31" t="s">
        <v>97</v>
      </c>
      <c r="D40" s="31"/>
      <c r="E40" s="31"/>
      <c r="F40" s="31"/>
    </row>
    <row r="41" spans="2:6" x14ac:dyDescent="0.25">
      <c r="B41" s="11">
        <v>3</v>
      </c>
      <c r="C41" s="31" t="s">
        <v>98</v>
      </c>
      <c r="D41" s="31"/>
      <c r="E41" s="31"/>
      <c r="F41" s="31"/>
    </row>
    <row r="42" spans="2:6" x14ac:dyDescent="0.25">
      <c r="B42" s="11">
        <v>4</v>
      </c>
      <c r="C42" s="31" t="s">
        <v>99</v>
      </c>
      <c r="D42" s="31"/>
      <c r="E42" s="31"/>
      <c r="F42" s="31"/>
    </row>
    <row r="43" spans="2:6" x14ac:dyDescent="0.25">
      <c r="B43" s="11">
        <v>5</v>
      </c>
      <c r="C43" s="31" t="s">
        <v>100</v>
      </c>
      <c r="D43" s="31"/>
      <c r="E43" s="31"/>
      <c r="F43" s="31"/>
    </row>
    <row r="44" spans="2:6" x14ac:dyDescent="0.25">
      <c r="B44" s="11">
        <v>6</v>
      </c>
      <c r="C44" s="31" t="s">
        <v>101</v>
      </c>
      <c r="D44" s="31"/>
      <c r="E44" s="31"/>
      <c r="F44" s="31"/>
    </row>
    <row r="45" spans="2:6" x14ac:dyDescent="0.25">
      <c r="B45" s="11">
        <v>7</v>
      </c>
      <c r="C45" s="31" t="s">
        <v>102</v>
      </c>
      <c r="D45" s="31"/>
      <c r="E45" s="31"/>
      <c r="F45" s="31"/>
    </row>
    <row r="46" spans="2:6" x14ac:dyDescent="0.25">
      <c r="B46" s="11">
        <v>8</v>
      </c>
      <c r="C46" s="31" t="s">
        <v>103</v>
      </c>
      <c r="D46" s="31"/>
      <c r="E46" s="31"/>
      <c r="F46" s="31"/>
    </row>
    <row r="47" spans="2:6" x14ac:dyDescent="0.25">
      <c r="B47" s="11">
        <v>9</v>
      </c>
      <c r="C47" s="31" t="s">
        <v>104</v>
      </c>
      <c r="D47" s="31"/>
      <c r="E47" s="31"/>
      <c r="F47" s="31"/>
    </row>
    <row r="48" spans="2:6" x14ac:dyDescent="0.25">
      <c r="B48" s="11">
        <v>10</v>
      </c>
      <c r="C48" s="31" t="s">
        <v>105</v>
      </c>
      <c r="D48" s="31"/>
      <c r="E48" s="31"/>
      <c r="F48" s="31"/>
    </row>
    <row r="49" spans="2:6" x14ac:dyDescent="0.25">
      <c r="B49" s="11">
        <v>11</v>
      </c>
      <c r="C49" s="31" t="s">
        <v>106</v>
      </c>
      <c r="D49" s="31"/>
      <c r="E49" s="31"/>
      <c r="F49" s="31"/>
    </row>
    <row r="50" spans="2:6" x14ac:dyDescent="0.25">
      <c r="B50" s="11">
        <v>12</v>
      </c>
      <c r="C50" s="31" t="s">
        <v>107</v>
      </c>
      <c r="D50" s="31"/>
      <c r="E50" s="31"/>
      <c r="F50" s="31"/>
    </row>
    <row r="51" spans="2:6" x14ac:dyDescent="0.25">
      <c r="B51" s="11">
        <v>13</v>
      </c>
      <c r="C51" s="31" t="s">
        <v>108</v>
      </c>
      <c r="D51" s="31"/>
      <c r="E51" s="31"/>
      <c r="F51" s="31"/>
    </row>
    <row r="52" spans="2:6" x14ac:dyDescent="0.25">
      <c r="B52" s="11">
        <v>14</v>
      </c>
      <c r="C52" s="31" t="s">
        <v>109</v>
      </c>
      <c r="D52" s="31"/>
      <c r="E52" s="31"/>
      <c r="F52" s="31"/>
    </row>
    <row r="53" spans="2:6" x14ac:dyDescent="0.25">
      <c r="B53" s="11">
        <v>15</v>
      </c>
      <c r="C53" s="31" t="s">
        <v>110</v>
      </c>
      <c r="D53" s="31"/>
      <c r="E53" s="31"/>
      <c r="F53" s="31"/>
    </row>
    <row r="54" spans="2:6" x14ac:dyDescent="0.25">
      <c r="B54" s="11">
        <v>16</v>
      </c>
      <c r="C54" s="31" t="s">
        <v>111</v>
      </c>
      <c r="D54" s="31"/>
      <c r="E54" s="31"/>
      <c r="F54" s="31"/>
    </row>
    <row r="55" spans="2:6" x14ac:dyDescent="0.25">
      <c r="B55" s="11">
        <v>17</v>
      </c>
      <c r="C55" s="31" t="s">
        <v>112</v>
      </c>
      <c r="D55" s="31"/>
      <c r="E55" s="31"/>
      <c r="F55" s="31"/>
    </row>
    <row r="56" spans="2:6" x14ac:dyDescent="0.25">
      <c r="B56" s="11">
        <v>18</v>
      </c>
      <c r="C56" s="31" t="s">
        <v>113</v>
      </c>
      <c r="D56" s="31"/>
      <c r="E56" s="31"/>
      <c r="F56" s="31"/>
    </row>
    <row r="57" spans="2:6" x14ac:dyDescent="0.25">
      <c r="B57" s="11">
        <v>19</v>
      </c>
      <c r="C57" s="31" t="s">
        <v>114</v>
      </c>
      <c r="D57" s="31"/>
      <c r="E57" s="31"/>
      <c r="F57" s="31"/>
    </row>
    <row r="58" spans="2:6" x14ac:dyDescent="0.25">
      <c r="B58" s="11">
        <v>20</v>
      </c>
      <c r="C58" s="31" t="s">
        <v>115</v>
      </c>
      <c r="D58" s="31"/>
      <c r="E58" s="31"/>
      <c r="F58" s="31"/>
    </row>
    <row r="59" spans="2:6" x14ac:dyDescent="0.25">
      <c r="B59" s="11">
        <v>21</v>
      </c>
      <c r="C59" s="31" t="s">
        <v>116</v>
      </c>
      <c r="D59" s="31"/>
      <c r="E59" s="31"/>
      <c r="F59" s="31"/>
    </row>
    <row r="60" spans="2:6" x14ac:dyDescent="0.25">
      <c r="B60" s="11">
        <v>22</v>
      </c>
      <c r="C60" s="31" t="s">
        <v>117</v>
      </c>
      <c r="D60" s="31"/>
      <c r="E60" s="31"/>
      <c r="F60" s="31"/>
    </row>
    <row r="61" spans="2:6" x14ac:dyDescent="0.25">
      <c r="B61" s="11">
        <v>23</v>
      </c>
      <c r="C61" s="31" t="s">
        <v>118</v>
      </c>
      <c r="D61" s="31"/>
      <c r="E61" s="31"/>
      <c r="F61" s="31"/>
    </row>
    <row r="62" spans="2:6" x14ac:dyDescent="0.25">
      <c r="B62" s="11">
        <v>24</v>
      </c>
      <c r="C62" s="31" t="s">
        <v>119</v>
      </c>
      <c r="D62" s="31"/>
      <c r="E62" s="31"/>
      <c r="F62" s="31"/>
    </row>
    <row r="63" spans="2:6" x14ac:dyDescent="0.25">
      <c r="B63" s="11">
        <v>25</v>
      </c>
      <c r="C63" s="31" t="s">
        <v>120</v>
      </c>
      <c r="D63" s="31"/>
      <c r="E63" s="31"/>
      <c r="F63" s="31"/>
    </row>
    <row r="64" spans="2:6" x14ac:dyDescent="0.25">
      <c r="B64" s="11">
        <v>26</v>
      </c>
      <c r="C64" s="31" t="s">
        <v>121</v>
      </c>
      <c r="D64" s="31"/>
      <c r="E64" s="31"/>
      <c r="F64" s="31"/>
    </row>
    <row r="65" spans="2:6" x14ac:dyDescent="0.25">
      <c r="B65" s="11">
        <v>27</v>
      </c>
      <c r="C65" s="31" t="s">
        <v>122</v>
      </c>
      <c r="D65" s="31"/>
      <c r="E65" s="31"/>
      <c r="F65" s="31"/>
    </row>
    <row r="66" spans="2:6" x14ac:dyDescent="0.25">
      <c r="B66" s="11">
        <v>28</v>
      </c>
      <c r="C66" s="31" t="s">
        <v>123</v>
      </c>
      <c r="D66" s="31"/>
      <c r="E66" s="31"/>
      <c r="F66" s="31"/>
    </row>
    <row r="69" spans="2:6" x14ac:dyDescent="0.25">
      <c r="B69" s="24" t="s">
        <v>129</v>
      </c>
      <c r="C69" s="25" t="s">
        <v>185</v>
      </c>
      <c r="D69" s="25"/>
      <c r="E69" s="25"/>
      <c r="F69" s="25"/>
    </row>
    <row r="70" spans="2:6" x14ac:dyDescent="0.25">
      <c r="B70" s="11">
        <v>1</v>
      </c>
      <c r="C70" s="31" t="s">
        <v>186</v>
      </c>
      <c r="D70" s="31"/>
      <c r="E70" s="31"/>
      <c r="F70" s="31"/>
    </row>
  </sheetData>
  <mergeCells count="34">
    <mergeCell ref="B2:F2"/>
    <mergeCell ref="B3:F3"/>
    <mergeCell ref="B4:F4"/>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9:F69"/>
    <mergeCell ref="C70:F70"/>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64"/>
  <sheetFormatPr defaultRowHeight="15" outlineLevelRow="0" outlineLevelCol="0" x14ac:dyDescent="55"/>
  <cols>
    <col min="1" max="2" width="7.75" customWidth="1"/>
    <col min="3" max="3" width="43.25" customWidth="1"/>
    <col min="4" max="5" width="12" customWidth="1"/>
    <col min="6" max="6" width="45.25" customWidth="1"/>
    <col min="7" max="7" width="11" customWidth="1"/>
    <col min="8" max="8" width="22" customWidth="1"/>
    <col min="10" max="13" width="12" customWidth="1"/>
    <col min="14" max="26" width="7.75" customWidth="1"/>
  </cols>
  <sheetData>
    <row r="2" spans="2:6" x14ac:dyDescent="0.25">
      <c r="B2" s="18" t="s">
        <v>220</v>
      </c>
      <c r="C2" s="18"/>
      <c r="D2" s="18"/>
      <c r="E2" s="18"/>
      <c r="F2" s="18"/>
    </row>
    <row r="3" spans="2:6" x14ac:dyDescent="0.25">
      <c r="B3" s="19" t="s">
        <v>8</v>
      </c>
      <c r="C3" s="19"/>
      <c r="D3" s="19"/>
      <c r="E3" s="19"/>
      <c r="F3" s="19"/>
    </row>
    <row r="4" spans="2:6" x14ac:dyDescent="0.25">
      <c r="B4" s="20" t="s">
        <v>125</v>
      </c>
      <c r="C4" s="20"/>
      <c r="D4" s="20"/>
      <c r="E4" s="20"/>
      <c r="F4" s="20"/>
    </row>
    <row r="6" spans="3:11" x14ac:dyDescent="0.25">
      <c r="C6" s="21" t="s">
        <v>221</v>
      </c>
      <c r="D6" s="22">
        <f>D23</f>
        <v>4</v>
      </c>
      <c r="E6" s="22">
        <f>E23</f>
        <v>8</v>
      </c>
      <c r="F6" s="23" t="s">
        <v>222</v>
      </c>
      <c r="I6" s="21" t="s">
        <v>128</v>
      </c>
      <c r="J6" s="22">
        <f>J23</f>
        <v>18.9</v>
      </c>
      <c r="K6" s="22">
        <f>K23</f>
        <v>35.8</v>
      </c>
    </row>
    <row r="8" spans="2:13" x14ac:dyDescent="0.25">
      <c r="B8" s="24" t="s">
        <v>129</v>
      </c>
      <c r="C8" s="25" t="s">
        <v>223</v>
      </c>
      <c r="D8" s="26" t="s">
        <v>14</v>
      </c>
      <c r="E8" s="26" t="s">
        <v>15</v>
      </c>
      <c r="F8" s="24" t="s">
        <v>16</v>
      </c>
      <c r="G8" s="24" t="s">
        <v>131</v>
      </c>
      <c r="H8" s="24" t="s">
        <v>132</v>
      </c>
      <c r="I8" s="24" t="s">
        <v>133</v>
      </c>
      <c r="J8" s="24" t="s">
        <v>17</v>
      </c>
      <c r="K8" s="24" t="s">
        <v>18</v>
      </c>
      <c r="L8" s="24" t="s">
        <v>134</v>
      </c>
      <c r="M8" s="24" t="s">
        <v>135</v>
      </c>
    </row>
    <row r="9" spans="2:13" x14ac:dyDescent="0.25">
      <c r="B9" s="27">
        <v>1</v>
      </c>
      <c r="C9" s="28" t="s">
        <v>224</v>
      </c>
      <c r="D9" s="29">
        <v>0</v>
      </c>
      <c r="E9" s="29">
        <v>0</v>
      </c>
      <c r="F9" s="30" t="s">
        <v>225</v>
      </c>
      <c r="J9" s="16">
        <v>0</v>
      </c>
      <c r="K9" s="16">
        <v>0</v>
      </c>
      <c r="L9" s="16">
        <v>0</v>
      </c>
      <c r="M9" s="16">
        <v>0</v>
      </c>
    </row>
    <row r="10" spans="2:13" x14ac:dyDescent="0.25">
      <c r="B10" s="27">
        <v>2</v>
      </c>
      <c r="C10" s="28" t="s">
        <v>226</v>
      </c>
      <c r="D10" s="29">
        <v>0</v>
      </c>
      <c r="E10" s="29">
        <v>0</v>
      </c>
      <c r="F10" s="30" t="s">
        <v>227</v>
      </c>
      <c r="J10" s="16">
        <v>0</v>
      </c>
      <c r="K10" s="16">
        <v>0</v>
      </c>
      <c r="L10" s="16">
        <v>0</v>
      </c>
      <c r="M10" s="16">
        <v>0</v>
      </c>
    </row>
    <row r="11" spans="2:13" x14ac:dyDescent="0.25">
      <c r="B11" s="27">
        <v>3</v>
      </c>
      <c r="C11" s="28" t="s">
        <v>228</v>
      </c>
      <c r="D11" s="29">
        <f>SUM(D12:D14)</f>
        <v>0</v>
      </c>
      <c r="E11" s="29">
        <f>SUM(E12:E14)</f>
        <v>0</v>
      </c>
      <c r="F11" s="30" t="s">
        <v>229</v>
      </c>
      <c r="J11" s="16">
        <f>SUM(J12:J14)</f>
        <v>9</v>
      </c>
      <c r="K11" s="16">
        <f>SUM(K12:K14)</f>
        <v>18</v>
      </c>
      <c r="L11" s="16">
        <f>SUM(L12:L14)</f>
        <v>1.11</v>
      </c>
      <c r="M11" s="16">
        <f>SUM(M12:M14)</f>
        <v>3.77</v>
      </c>
    </row>
    <row r="12" spans="2:13" x14ac:dyDescent="0.25">
      <c r="B12" s="11" t="s">
        <v>42</v>
      </c>
      <c r="C12" s="31" t="s">
        <v>230</v>
      </c>
      <c r="D12" s="32">
        <v>0</v>
      </c>
      <c r="E12" s="32">
        <v>0</v>
      </c>
      <c r="F12" s="9" t="s">
        <v>231</v>
      </c>
      <c r="G12" t="s">
        <v>144</v>
      </c>
      <c r="H12" t="s">
        <v>232</v>
      </c>
      <c r="I12" t="s">
        <v>233</v>
      </c>
      <c r="J12" s="16">
        <v>3</v>
      </c>
      <c r="K12" s="16">
        <v>6</v>
      </c>
      <c r="L12" s="16">
        <v>0.37</v>
      </c>
      <c r="M12" s="16">
        <v>1.26</v>
      </c>
    </row>
    <row r="13" spans="2:13" x14ac:dyDescent="0.25">
      <c r="B13" s="11" t="s">
        <v>42</v>
      </c>
      <c r="C13" s="31" t="s">
        <v>234</v>
      </c>
      <c r="D13" s="32">
        <v>0</v>
      </c>
      <c r="E13" s="32">
        <v>0</v>
      </c>
      <c r="F13" s="9" t="s">
        <v>235</v>
      </c>
      <c r="G13" t="s">
        <v>144</v>
      </c>
      <c r="H13" t="s">
        <v>236</v>
      </c>
      <c r="I13" t="s">
        <v>237</v>
      </c>
      <c r="J13" s="16">
        <v>3</v>
      </c>
      <c r="K13" s="16">
        <v>6</v>
      </c>
      <c r="L13" s="16">
        <v>0.37</v>
      </c>
      <c r="M13" s="16">
        <v>1.26</v>
      </c>
    </row>
    <row r="14" spans="2:13" x14ac:dyDescent="0.25">
      <c r="B14" s="11" t="s">
        <v>42</v>
      </c>
      <c r="C14" s="31" t="s">
        <v>238</v>
      </c>
      <c r="D14" s="32">
        <v>0</v>
      </c>
      <c r="E14" s="32">
        <v>0</v>
      </c>
      <c r="F14" s="9" t="s">
        <v>239</v>
      </c>
      <c r="G14" t="s">
        <v>144</v>
      </c>
      <c r="H14" t="s">
        <v>240</v>
      </c>
      <c r="I14" t="s">
        <v>241</v>
      </c>
      <c r="J14" s="16">
        <v>3</v>
      </c>
      <c r="K14" s="16">
        <v>6</v>
      </c>
      <c r="L14" s="16">
        <v>0.37</v>
      </c>
      <c r="M14" s="16">
        <v>1.25</v>
      </c>
    </row>
    <row r="15" spans="2:13" x14ac:dyDescent="0.25">
      <c r="B15" s="27">
        <v>4</v>
      </c>
      <c r="C15" s="28" t="s">
        <v>242</v>
      </c>
      <c r="D15" s="29">
        <f>SUM(D16:D16)</f>
        <v>0</v>
      </c>
      <c r="E15" s="29">
        <f>SUM(E16:E16)</f>
        <v>0</v>
      </c>
      <c r="F15" s="30" t="s">
        <v>243</v>
      </c>
      <c r="J15" s="16">
        <f>SUM(J16:J16)</f>
        <v>6</v>
      </c>
      <c r="K15" s="16">
        <f>SUM(K16:K16)</f>
        <v>10</v>
      </c>
      <c r="L15" s="16">
        <f>SUM(L16:L16)</f>
        <v>0.66</v>
      </c>
      <c r="M15" s="16">
        <f>SUM(M16:M16)</f>
        <v>2.23</v>
      </c>
    </row>
    <row r="16" spans="3:13" x14ac:dyDescent="0.25">
      <c r="C16" s="31" t="s">
        <v>244</v>
      </c>
      <c r="D16" s="32">
        <f>D29</f>
        <v>0</v>
      </c>
      <c r="E16" s="32">
        <f>E29</f>
        <v>0</v>
      </c>
      <c r="J16" s="16">
        <f>J29</f>
        <v>6</v>
      </c>
      <c r="K16" s="16">
        <f>K29</f>
        <v>10</v>
      </c>
      <c r="L16" s="16">
        <f>L29</f>
        <v>0.66</v>
      </c>
      <c r="M16" s="16">
        <f>M29</f>
        <v>2.23</v>
      </c>
    </row>
    <row r="17" spans="2:13" x14ac:dyDescent="0.25">
      <c r="B17" s="27">
        <v>5</v>
      </c>
      <c r="C17" s="28" t="s">
        <v>245</v>
      </c>
      <c r="D17" s="29">
        <v>0</v>
      </c>
      <c r="E17" s="29">
        <v>0</v>
      </c>
      <c r="F17" s="30" t="s">
        <v>246</v>
      </c>
      <c r="J17" s="16">
        <v>0</v>
      </c>
      <c r="K17" s="16">
        <v>0</v>
      </c>
      <c r="L17" s="16">
        <v>0</v>
      </c>
      <c r="M17" s="16">
        <v>0</v>
      </c>
    </row>
    <row r="18" spans="2:13" x14ac:dyDescent="0.25">
      <c r="B18" s="27">
        <v>6</v>
      </c>
      <c r="C18" s="28" t="s">
        <v>247</v>
      </c>
      <c r="D18" s="29">
        <f>SUM(D19:D19)</f>
        <v>0</v>
      </c>
      <c r="E18" s="29">
        <f>SUM(E19:E19)</f>
        <v>0</v>
      </c>
      <c r="F18" s="30" t="s">
        <v>248</v>
      </c>
      <c r="J18" s="16">
        <f>SUM(J19:J19)</f>
        <v>3.9</v>
      </c>
      <c r="K18" s="16">
        <f>SUM(K19:K19)</f>
        <v>7.8</v>
      </c>
      <c r="L18" s="16">
        <f>SUM(L19:L19)</f>
        <v>0.48</v>
      </c>
      <c r="M18" s="16">
        <f>SUM(M19:M19)</f>
        <v>1.63</v>
      </c>
    </row>
    <row r="19" spans="2:13" x14ac:dyDescent="0.25">
      <c r="B19" s="11" t="s">
        <v>42</v>
      </c>
      <c r="C19" s="31" t="s">
        <v>249</v>
      </c>
      <c r="D19" s="32">
        <v>0</v>
      </c>
      <c r="E19" s="32">
        <v>0</v>
      </c>
      <c r="F19" s="9" t="s">
        <v>250</v>
      </c>
      <c r="G19" t="s">
        <v>144</v>
      </c>
      <c r="H19" t="s">
        <v>251</v>
      </c>
      <c r="I19" t="s">
        <v>252</v>
      </c>
      <c r="J19" s="16">
        <v>3.9</v>
      </c>
      <c r="K19" s="16">
        <v>7.8</v>
      </c>
      <c r="L19" s="16">
        <v>0.48</v>
      </c>
      <c r="M19" s="16">
        <v>1.63</v>
      </c>
    </row>
    <row r="20" spans="2:13" x14ac:dyDescent="0.25">
      <c r="B20" s="27">
        <v>7</v>
      </c>
      <c r="C20" s="28" t="s">
        <v>253</v>
      </c>
      <c r="D20" s="29">
        <f>SUM(D21:D21)</f>
        <v>4</v>
      </c>
      <c r="E20" s="29">
        <f>SUM(E21:E21)</f>
        <v>8</v>
      </c>
      <c r="F20" s="30" t="s">
        <v>254</v>
      </c>
      <c r="J20" s="16">
        <f>SUM(J21:J21)</f>
        <v>0</v>
      </c>
      <c r="K20" s="16">
        <f>SUM(K21:K21)</f>
        <v>0</v>
      </c>
      <c r="L20" s="16">
        <f>SUM(L21:L21)</f>
        <v>0</v>
      </c>
      <c r="M20" s="16">
        <f>SUM(M21:M21)</f>
        <v>0</v>
      </c>
    </row>
    <row r="21" spans="2:13" x14ac:dyDescent="0.25">
      <c r="B21" s="11" t="s">
        <v>42</v>
      </c>
      <c r="C21" s="31" t="s">
        <v>255</v>
      </c>
      <c r="D21" s="32">
        <v>4</v>
      </c>
      <c r="E21" s="32">
        <v>8</v>
      </c>
      <c r="F21" s="9" t="s">
        <v>256</v>
      </c>
      <c r="G21" t="s">
        <v>257</v>
      </c>
      <c r="H21" t="s">
        <v>42</v>
      </c>
      <c r="I21" t="s">
        <v>258</v>
      </c>
      <c r="J21" s="16">
        <v>0</v>
      </c>
      <c r="K21" s="16">
        <v>0</v>
      </c>
      <c r="L21" s="16">
        <v>0</v>
      </c>
      <c r="M21" s="16">
        <v>0</v>
      </c>
    </row>
    <row r="22" spans="2:13" x14ac:dyDescent="0.25">
      <c r="B22" s="27">
        <v>8</v>
      </c>
      <c r="C22" s="28" t="s">
        <v>259</v>
      </c>
      <c r="D22" s="29">
        <v>0</v>
      </c>
      <c r="E22" s="29">
        <v>0</v>
      </c>
      <c r="F22" s="30" t="s">
        <v>260</v>
      </c>
      <c r="J22" s="16">
        <v>0</v>
      </c>
      <c r="K22" s="16">
        <v>0</v>
      </c>
      <c r="L22" s="16">
        <v>0</v>
      </c>
      <c r="M22" s="16">
        <v>0</v>
      </c>
    </row>
    <row r="23" spans="2:13" x14ac:dyDescent="0.25">
      <c r="B23" s="33" t="s">
        <v>42</v>
      </c>
      <c r="C23" s="33" t="s">
        <v>261</v>
      </c>
      <c r="D23" s="34">
        <f>D9+D10+D11+D15+D17+D18+D20+D22</f>
        <v>4</v>
      </c>
      <c r="E23" s="34">
        <f>E9+E10+E11+E15+E17+E18+E20+E22</f>
        <v>8</v>
      </c>
      <c r="F23" s="35" t="s">
        <v>262</v>
      </c>
      <c r="J23" s="17">
        <f>J9+J10+J11+J15+J17+J18+J20+J22</f>
        <v>18.9</v>
      </c>
      <c r="K23" s="17">
        <f>K9+K10+K11+K15+K17+K18+K20+K22</f>
        <v>35.8</v>
      </c>
      <c r="L23" s="17">
        <f>L9+L10+L11+L15+L17+L18+L20+L22</f>
        <v>2.25</v>
      </c>
      <c r="M23" s="17">
        <f>M9+M10+M11+M15+M17+M18+M20+M22</f>
        <v>7.63</v>
      </c>
    </row>
    <row r="26" spans="2:13" x14ac:dyDescent="0.25">
      <c r="B26" s="24" t="s">
        <v>129</v>
      </c>
      <c r="C26" s="25" t="s">
        <v>263</v>
      </c>
      <c r="D26" s="26" t="s">
        <v>14</v>
      </c>
      <c r="E26" s="26" t="s">
        <v>15</v>
      </c>
      <c r="F26" s="24" t="s">
        <v>16</v>
      </c>
      <c r="G26" s="24" t="s">
        <v>131</v>
      </c>
      <c r="H26" s="24" t="s">
        <v>132</v>
      </c>
      <c r="I26" s="24" t="s">
        <v>133</v>
      </c>
      <c r="J26" s="24" t="s">
        <v>17</v>
      </c>
      <c r="K26" s="24" t="s">
        <v>18</v>
      </c>
      <c r="L26" s="24" t="s">
        <v>134</v>
      </c>
      <c r="M26" s="24" t="s">
        <v>135</v>
      </c>
    </row>
    <row r="27" spans="3:3" x14ac:dyDescent="0.25">
      <c r="C27" s="28" t="s">
        <v>244</v>
      </c>
    </row>
    <row r="28" spans="2:13" x14ac:dyDescent="0.25">
      <c r="B28" s="11">
        <v>1</v>
      </c>
      <c r="C28" s="31" t="s">
        <v>264</v>
      </c>
      <c r="D28" s="32">
        <v>0</v>
      </c>
      <c r="E28" s="32">
        <v>0</v>
      </c>
      <c r="F28" s="9" t="s">
        <v>265</v>
      </c>
      <c r="G28" t="s">
        <v>144</v>
      </c>
      <c r="H28" t="s">
        <v>266</v>
      </c>
      <c r="I28" t="s">
        <v>267</v>
      </c>
      <c r="J28" s="16">
        <v>6</v>
      </c>
      <c r="K28" s="16">
        <v>10</v>
      </c>
      <c r="L28" s="16">
        <v>0.66</v>
      </c>
      <c r="M28" s="16">
        <v>2.23</v>
      </c>
    </row>
    <row r="29" spans="2:13" x14ac:dyDescent="0.25">
      <c r="B29" s="33" t="s">
        <v>42</v>
      </c>
      <c r="C29" s="33" t="s">
        <v>268</v>
      </c>
      <c r="D29" s="34">
        <f>D28</f>
        <v>0</v>
      </c>
      <c r="E29" s="34">
        <f>E28</f>
        <v>0</v>
      </c>
      <c r="F29" s="35" t="s">
        <v>269</v>
      </c>
      <c r="J29" s="17">
        <f>J28</f>
        <v>6</v>
      </c>
      <c r="K29" s="17">
        <f>K28</f>
        <v>10</v>
      </c>
      <c r="L29" s="17">
        <f>L28</f>
        <v>0.66</v>
      </c>
      <c r="M29" s="17">
        <f>M28</f>
        <v>2.23</v>
      </c>
    </row>
    <row r="32" spans="2:6" x14ac:dyDescent="0.25">
      <c r="B32" s="24" t="s">
        <v>129</v>
      </c>
      <c r="C32" s="25" t="s">
        <v>184</v>
      </c>
      <c r="D32" s="25"/>
      <c r="E32" s="25"/>
      <c r="F32" s="25"/>
    </row>
    <row r="33" spans="2:6" x14ac:dyDescent="0.25">
      <c r="B33" s="11">
        <v>1</v>
      </c>
      <c r="C33" s="31" t="s">
        <v>96</v>
      </c>
      <c r="D33" s="31"/>
      <c r="E33" s="31"/>
      <c r="F33" s="31"/>
    </row>
    <row r="34" spans="2:6" x14ac:dyDescent="0.25">
      <c r="B34" s="11">
        <v>2</v>
      </c>
      <c r="C34" s="31" t="s">
        <v>97</v>
      </c>
      <c r="D34" s="31"/>
      <c r="E34" s="31"/>
      <c r="F34" s="31"/>
    </row>
    <row r="35" spans="2:6" x14ac:dyDescent="0.25">
      <c r="B35" s="11">
        <v>3</v>
      </c>
      <c r="C35" s="31" t="s">
        <v>98</v>
      </c>
      <c r="D35" s="31"/>
      <c r="E35" s="31"/>
      <c r="F35" s="31"/>
    </row>
    <row r="36" spans="2:6" x14ac:dyDescent="0.25">
      <c r="B36" s="11">
        <v>4</v>
      </c>
      <c r="C36" s="31" t="s">
        <v>99</v>
      </c>
      <c r="D36" s="31"/>
      <c r="E36" s="31"/>
      <c r="F36" s="31"/>
    </row>
    <row r="37" spans="2:6" x14ac:dyDescent="0.25">
      <c r="B37" s="11">
        <v>5</v>
      </c>
      <c r="C37" s="31" t="s">
        <v>100</v>
      </c>
      <c r="D37" s="31"/>
      <c r="E37" s="31"/>
      <c r="F37" s="31"/>
    </row>
    <row r="38" spans="2:6" x14ac:dyDescent="0.25">
      <c r="B38" s="11">
        <v>6</v>
      </c>
      <c r="C38" s="31" t="s">
        <v>101</v>
      </c>
      <c r="D38" s="31"/>
      <c r="E38" s="31"/>
      <c r="F38" s="31"/>
    </row>
    <row r="39" spans="2:6" x14ac:dyDescent="0.25">
      <c r="B39" s="11">
        <v>7</v>
      </c>
      <c r="C39" s="31" t="s">
        <v>102</v>
      </c>
      <c r="D39" s="31"/>
      <c r="E39" s="31"/>
      <c r="F39" s="31"/>
    </row>
    <row r="40" spans="2:6" x14ac:dyDescent="0.25">
      <c r="B40" s="11">
        <v>8</v>
      </c>
      <c r="C40" s="31" t="s">
        <v>103</v>
      </c>
      <c r="D40" s="31"/>
      <c r="E40" s="31"/>
      <c r="F40" s="31"/>
    </row>
    <row r="41" spans="2:6" x14ac:dyDescent="0.25">
      <c r="B41" s="11">
        <v>9</v>
      </c>
      <c r="C41" s="31" t="s">
        <v>104</v>
      </c>
      <c r="D41" s="31"/>
      <c r="E41" s="31"/>
      <c r="F41" s="31"/>
    </row>
    <row r="42" spans="2:6" x14ac:dyDescent="0.25">
      <c r="B42" s="11">
        <v>10</v>
      </c>
      <c r="C42" s="31" t="s">
        <v>105</v>
      </c>
      <c r="D42" s="31"/>
      <c r="E42" s="31"/>
      <c r="F42" s="31"/>
    </row>
    <row r="43" spans="2:6" x14ac:dyDescent="0.25">
      <c r="B43" s="11">
        <v>11</v>
      </c>
      <c r="C43" s="31" t="s">
        <v>106</v>
      </c>
      <c r="D43" s="31"/>
      <c r="E43" s="31"/>
      <c r="F43" s="31"/>
    </row>
    <row r="44" spans="2:6" x14ac:dyDescent="0.25">
      <c r="B44" s="11">
        <v>12</v>
      </c>
      <c r="C44" s="31" t="s">
        <v>107</v>
      </c>
      <c r="D44" s="31"/>
      <c r="E44" s="31"/>
      <c r="F44" s="31"/>
    </row>
    <row r="45" spans="2:6" x14ac:dyDescent="0.25">
      <c r="B45" s="11">
        <v>13</v>
      </c>
      <c r="C45" s="31" t="s">
        <v>108</v>
      </c>
      <c r="D45" s="31"/>
      <c r="E45" s="31"/>
      <c r="F45" s="31"/>
    </row>
    <row r="46" spans="2:6" x14ac:dyDescent="0.25">
      <c r="B46" s="11">
        <v>14</v>
      </c>
      <c r="C46" s="31" t="s">
        <v>109</v>
      </c>
      <c r="D46" s="31"/>
      <c r="E46" s="31"/>
      <c r="F46" s="31"/>
    </row>
    <row r="47" spans="2:6" x14ac:dyDescent="0.25">
      <c r="B47" s="11">
        <v>15</v>
      </c>
      <c r="C47" s="31" t="s">
        <v>110</v>
      </c>
      <c r="D47" s="31"/>
      <c r="E47" s="31"/>
      <c r="F47" s="31"/>
    </row>
    <row r="48" spans="2:6" x14ac:dyDescent="0.25">
      <c r="B48" s="11">
        <v>16</v>
      </c>
      <c r="C48" s="31" t="s">
        <v>111</v>
      </c>
      <c r="D48" s="31"/>
      <c r="E48" s="31"/>
      <c r="F48" s="31"/>
    </row>
    <row r="49" spans="2:6" x14ac:dyDescent="0.25">
      <c r="B49" s="11">
        <v>17</v>
      </c>
      <c r="C49" s="31" t="s">
        <v>112</v>
      </c>
      <c r="D49" s="31"/>
      <c r="E49" s="31"/>
      <c r="F49" s="31"/>
    </row>
    <row r="50" spans="2:6" x14ac:dyDescent="0.25">
      <c r="B50" s="11">
        <v>18</v>
      </c>
      <c r="C50" s="31" t="s">
        <v>113</v>
      </c>
      <c r="D50" s="31"/>
      <c r="E50" s="31"/>
      <c r="F50" s="31"/>
    </row>
    <row r="51" spans="2:6" x14ac:dyDescent="0.25">
      <c r="B51" s="11">
        <v>19</v>
      </c>
      <c r="C51" s="31" t="s">
        <v>114</v>
      </c>
      <c r="D51" s="31"/>
      <c r="E51" s="31"/>
      <c r="F51" s="31"/>
    </row>
    <row r="52" spans="2:6" x14ac:dyDescent="0.25">
      <c r="B52" s="11">
        <v>20</v>
      </c>
      <c r="C52" s="31" t="s">
        <v>115</v>
      </c>
      <c r="D52" s="31"/>
      <c r="E52" s="31"/>
      <c r="F52" s="31"/>
    </row>
    <row r="53" spans="2:6" x14ac:dyDescent="0.25">
      <c r="B53" s="11">
        <v>21</v>
      </c>
      <c r="C53" s="31" t="s">
        <v>116</v>
      </c>
      <c r="D53" s="31"/>
      <c r="E53" s="31"/>
      <c r="F53" s="31"/>
    </row>
    <row r="54" spans="2:6" x14ac:dyDescent="0.25">
      <c r="B54" s="11">
        <v>22</v>
      </c>
      <c r="C54" s="31" t="s">
        <v>117</v>
      </c>
      <c r="D54" s="31"/>
      <c r="E54" s="31"/>
      <c r="F54" s="31"/>
    </row>
    <row r="55" spans="2:6" x14ac:dyDescent="0.25">
      <c r="B55" s="11">
        <v>23</v>
      </c>
      <c r="C55" s="31" t="s">
        <v>118</v>
      </c>
      <c r="D55" s="31"/>
      <c r="E55" s="31"/>
      <c r="F55" s="31"/>
    </row>
    <row r="56" spans="2:6" x14ac:dyDescent="0.25">
      <c r="B56" s="11">
        <v>24</v>
      </c>
      <c r="C56" s="31" t="s">
        <v>119</v>
      </c>
      <c r="D56" s="31"/>
      <c r="E56" s="31"/>
      <c r="F56" s="31"/>
    </row>
    <row r="57" spans="2:6" x14ac:dyDescent="0.25">
      <c r="B57" s="11">
        <v>25</v>
      </c>
      <c r="C57" s="31" t="s">
        <v>120</v>
      </c>
      <c r="D57" s="31"/>
      <c r="E57" s="31"/>
      <c r="F57" s="31"/>
    </row>
    <row r="58" spans="2:6" x14ac:dyDescent="0.25">
      <c r="B58" s="11">
        <v>26</v>
      </c>
      <c r="C58" s="31" t="s">
        <v>121</v>
      </c>
      <c r="D58" s="31"/>
      <c r="E58" s="31"/>
      <c r="F58" s="31"/>
    </row>
    <row r="59" spans="2:6" x14ac:dyDescent="0.25">
      <c r="B59" s="11">
        <v>27</v>
      </c>
      <c r="C59" s="31" t="s">
        <v>122</v>
      </c>
      <c r="D59" s="31"/>
      <c r="E59" s="31"/>
      <c r="F59" s="31"/>
    </row>
    <row r="60" spans="2:6" x14ac:dyDescent="0.25">
      <c r="B60" s="11">
        <v>28</v>
      </c>
      <c r="C60" s="31" t="s">
        <v>123</v>
      </c>
      <c r="D60" s="31"/>
      <c r="E60" s="31"/>
      <c r="F60" s="31"/>
    </row>
    <row r="63" spans="2:6" x14ac:dyDescent="0.25">
      <c r="B63" s="24" t="s">
        <v>129</v>
      </c>
      <c r="C63" s="25" t="s">
        <v>185</v>
      </c>
      <c r="D63" s="25"/>
      <c r="E63" s="25"/>
      <c r="F63" s="25"/>
    </row>
    <row r="64" spans="2:6" x14ac:dyDescent="0.25">
      <c r="B64" s="11">
        <v>1</v>
      </c>
      <c r="C64" s="31" t="s">
        <v>186</v>
      </c>
      <c r="D64" s="31"/>
      <c r="E64" s="31"/>
      <c r="F64" s="31"/>
    </row>
  </sheetData>
  <mergeCells count="34">
    <mergeCell ref="B2:F2"/>
    <mergeCell ref="B3:F3"/>
    <mergeCell ref="B4:F4"/>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3:F63"/>
    <mergeCell ref="C64:F64"/>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57"/>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3" width="12" customWidth="1"/>
    <col min="14" max="26" width="7.75" customWidth="1"/>
  </cols>
  <sheetData>
    <row r="2" spans="2:6" x14ac:dyDescent="0.25">
      <c r="B2" s="18" t="s">
        <v>270</v>
      </c>
      <c r="C2" s="18"/>
      <c r="D2" s="18"/>
      <c r="E2" s="18"/>
      <c r="F2" s="18"/>
    </row>
    <row r="3" spans="2:6" x14ac:dyDescent="0.25">
      <c r="B3" s="19" t="s">
        <v>8</v>
      </c>
      <c r="C3" s="19"/>
      <c r="D3" s="19"/>
      <c r="E3" s="19"/>
      <c r="F3" s="19"/>
    </row>
    <row r="4" spans="2:6" x14ac:dyDescent="0.25">
      <c r="B4" s="20" t="s">
        <v>125</v>
      </c>
      <c r="C4" s="20"/>
      <c r="D4" s="20"/>
      <c r="E4" s="20"/>
      <c r="F4" s="20"/>
    </row>
    <row r="6" spans="3:11" x14ac:dyDescent="0.25">
      <c r="C6" s="21" t="s">
        <v>126</v>
      </c>
      <c r="D6" s="22">
        <f>D12+D17+D22</f>
        <v>2</v>
      </c>
      <c r="E6" s="22">
        <f>E12+E17+E22</f>
        <v>4</v>
      </c>
      <c r="F6" s="23" t="s">
        <v>127</v>
      </c>
      <c r="I6" s="21" t="s">
        <v>128</v>
      </c>
      <c r="J6" s="22">
        <f>J12+J17+J22</f>
        <v>0</v>
      </c>
      <c r="K6" s="22">
        <f>K12+K17+K22</f>
        <v>0</v>
      </c>
    </row>
    <row r="8" spans="2:13" x14ac:dyDescent="0.25">
      <c r="B8" s="24" t="s">
        <v>129</v>
      </c>
      <c r="C8" s="25" t="s">
        <v>130</v>
      </c>
      <c r="D8" s="26" t="s">
        <v>14</v>
      </c>
      <c r="E8" s="26" t="s">
        <v>15</v>
      </c>
      <c r="F8" s="24" t="s">
        <v>16</v>
      </c>
      <c r="G8" s="24" t="s">
        <v>131</v>
      </c>
      <c r="H8" s="24" t="s">
        <v>132</v>
      </c>
      <c r="I8" s="24" t="s">
        <v>133</v>
      </c>
      <c r="J8" s="24" t="s">
        <v>17</v>
      </c>
      <c r="K8" s="24" t="s">
        <v>18</v>
      </c>
      <c r="L8" s="24" t="s">
        <v>134</v>
      </c>
      <c r="M8" s="24" t="s">
        <v>135</v>
      </c>
    </row>
    <row r="9" spans="2:13" x14ac:dyDescent="0.25">
      <c r="B9" s="27">
        <v>1</v>
      </c>
      <c r="C9" s="28" t="s">
        <v>136</v>
      </c>
      <c r="D9" s="29">
        <f>SUM(D10:D10)</f>
        <v>2</v>
      </c>
      <c r="E9" s="29">
        <f>SUM(E10:E10)</f>
        <v>4</v>
      </c>
      <c r="F9" s="30" t="s">
        <v>42</v>
      </c>
      <c r="J9" s="16">
        <f>SUM(J10:J10)</f>
        <v>0</v>
      </c>
      <c r="K9" s="16">
        <f>SUM(K10:K10)</f>
        <v>0</v>
      </c>
      <c r="L9" s="16">
        <f>SUM(L10:L10)</f>
        <v>0</v>
      </c>
      <c r="M9" s="16">
        <f>SUM(M10:M10)</f>
        <v>0</v>
      </c>
    </row>
    <row r="10" spans="2:13" x14ac:dyDescent="0.25">
      <c r="B10" s="11" t="s">
        <v>42</v>
      </c>
      <c r="C10" s="31" t="s">
        <v>271</v>
      </c>
      <c r="D10" s="32">
        <v>2</v>
      </c>
      <c r="E10" s="32">
        <v>4</v>
      </c>
      <c r="F10" s="9" t="s">
        <v>272</v>
      </c>
      <c r="G10" t="s">
        <v>257</v>
      </c>
      <c r="H10" t="s">
        <v>42</v>
      </c>
      <c r="I10" t="s">
        <v>273</v>
      </c>
      <c r="J10" s="16">
        <v>0</v>
      </c>
      <c r="K10" s="16">
        <v>0</v>
      </c>
      <c r="L10" s="16">
        <v>0</v>
      </c>
      <c r="M10" s="16">
        <v>0</v>
      </c>
    </row>
    <row r="12" spans="2:13" x14ac:dyDescent="0.25">
      <c r="B12" s="33" t="s">
        <v>42</v>
      </c>
      <c r="C12" s="33" t="s">
        <v>177</v>
      </c>
      <c r="D12" s="34">
        <f>D9</f>
        <v>2</v>
      </c>
      <c r="E12" s="34">
        <f>E9</f>
        <v>4</v>
      </c>
      <c r="F12" s="35" t="s">
        <v>42</v>
      </c>
      <c r="J12" s="17">
        <f>J9</f>
        <v>0</v>
      </c>
      <c r="K12" s="17">
        <f>K9</f>
        <v>0</v>
      </c>
      <c r="L12" s="17">
        <f>L9</f>
        <v>0</v>
      </c>
      <c r="M12" s="17">
        <f>M9</f>
        <v>0</v>
      </c>
    </row>
    <row r="15" spans="2:13" x14ac:dyDescent="0.25">
      <c r="B15" s="24" t="s">
        <v>129</v>
      </c>
      <c r="C15" s="25" t="s">
        <v>178</v>
      </c>
      <c r="D15" s="26" t="s">
        <v>14</v>
      </c>
      <c r="E15" s="26" t="s">
        <v>15</v>
      </c>
      <c r="F15" s="24" t="s">
        <v>16</v>
      </c>
      <c r="G15" s="24" t="s">
        <v>131</v>
      </c>
      <c r="H15" s="24" t="s">
        <v>132</v>
      </c>
      <c r="I15" s="24" t="s">
        <v>133</v>
      </c>
      <c r="J15" s="24" t="s">
        <v>17</v>
      </c>
      <c r="K15" s="24" t="s">
        <v>18</v>
      </c>
      <c r="L15" s="24" t="s">
        <v>134</v>
      </c>
      <c r="M15" s="24" t="s">
        <v>135</v>
      </c>
    </row>
    <row r="16" spans="2:13" x14ac:dyDescent="0.25">
      <c r="B16" s="11">
        <v>1</v>
      </c>
      <c r="C16" s="31" t="s">
        <v>179</v>
      </c>
      <c r="D16" s="32">
        <v>0</v>
      </c>
      <c r="E16" s="32">
        <v>0</v>
      </c>
      <c r="F16" s="9" t="s">
        <v>42</v>
      </c>
      <c r="J16" s="16">
        <v>0</v>
      </c>
      <c r="K16" s="16">
        <v>0</v>
      </c>
      <c r="L16" s="16">
        <v>0</v>
      </c>
      <c r="M16" s="16">
        <v>0</v>
      </c>
    </row>
    <row r="17" spans="2:13" x14ac:dyDescent="0.25">
      <c r="B17" s="33" t="s">
        <v>42</v>
      </c>
      <c r="C17" s="33" t="s">
        <v>180</v>
      </c>
      <c r="D17" s="34">
        <f>SUM(D16:D16)</f>
        <v>0</v>
      </c>
      <c r="E17" s="34">
        <f>SUM(E16:E16)</f>
        <v>0</v>
      </c>
      <c r="F17" s="35" t="s">
        <v>42</v>
      </c>
      <c r="J17" s="17">
        <f>SUM(J16:J16)</f>
        <v>0</v>
      </c>
      <c r="K17" s="17">
        <f>SUM(K16:K16)</f>
        <v>0</v>
      </c>
      <c r="L17" s="17">
        <f>SUM(L16:L16)</f>
        <v>0</v>
      </c>
      <c r="M17" s="17">
        <f>SUM(M16:M16)</f>
        <v>0</v>
      </c>
    </row>
    <row r="20" spans="2:13" x14ac:dyDescent="0.25">
      <c r="B20" s="24" t="s">
        <v>129</v>
      </c>
      <c r="C20" s="25" t="s">
        <v>181</v>
      </c>
      <c r="D20" s="26" t="s">
        <v>14</v>
      </c>
      <c r="E20" s="26" t="s">
        <v>15</v>
      </c>
      <c r="F20" s="24" t="s">
        <v>16</v>
      </c>
      <c r="G20" s="24" t="s">
        <v>131</v>
      </c>
      <c r="H20" s="24" t="s">
        <v>132</v>
      </c>
      <c r="I20" s="24" t="s">
        <v>133</v>
      </c>
      <c r="J20" s="24" t="s">
        <v>17</v>
      </c>
      <c r="K20" s="24" t="s">
        <v>18</v>
      </c>
      <c r="L20" s="24" t="s">
        <v>134</v>
      </c>
      <c r="M20" s="24" t="s">
        <v>135</v>
      </c>
    </row>
    <row r="21" spans="2:13" x14ac:dyDescent="0.25">
      <c r="B21" s="11">
        <v>1</v>
      </c>
      <c r="C21" s="31" t="s">
        <v>179</v>
      </c>
      <c r="D21" s="32">
        <v>0</v>
      </c>
      <c r="E21" s="32">
        <v>0</v>
      </c>
      <c r="F21" s="9" t="s">
        <v>182</v>
      </c>
      <c r="J21" s="16">
        <v>0</v>
      </c>
      <c r="K21" s="16">
        <v>0</v>
      </c>
      <c r="L21" s="16">
        <v>0</v>
      </c>
      <c r="M21" s="16">
        <v>0</v>
      </c>
    </row>
    <row r="22" spans="2:13" x14ac:dyDescent="0.25">
      <c r="B22" s="33" t="s">
        <v>42</v>
      </c>
      <c r="C22" s="33" t="s">
        <v>183</v>
      </c>
      <c r="D22" s="34">
        <f>SUM(D21:D21)</f>
        <v>0</v>
      </c>
      <c r="E22" s="34">
        <f>SUM(E21:E21)</f>
        <v>0</v>
      </c>
      <c r="F22" s="35" t="s">
        <v>42</v>
      </c>
      <c r="J22" s="17">
        <f>SUM(J21:J21)</f>
        <v>0</v>
      </c>
      <c r="K22" s="17">
        <f>SUM(K21:K21)</f>
        <v>0</v>
      </c>
      <c r="L22" s="17">
        <f>SUM(L21:L21)</f>
        <v>0</v>
      </c>
      <c r="M22" s="17">
        <f>SUM(M21:M21)</f>
        <v>0</v>
      </c>
    </row>
    <row r="25" spans="2:6" x14ac:dyDescent="0.25">
      <c r="B25" s="24" t="s">
        <v>129</v>
      </c>
      <c r="C25" s="25" t="s">
        <v>184</v>
      </c>
      <c r="D25" s="25"/>
      <c r="E25" s="25"/>
      <c r="F25" s="25"/>
    </row>
    <row r="26" spans="2:6" x14ac:dyDescent="0.25">
      <c r="B26" s="11">
        <v>1</v>
      </c>
      <c r="C26" s="31" t="s">
        <v>96</v>
      </c>
      <c r="D26" s="31"/>
      <c r="E26" s="31"/>
      <c r="F26" s="31"/>
    </row>
    <row r="27" spans="2:6" x14ac:dyDescent="0.25">
      <c r="B27" s="11">
        <v>2</v>
      </c>
      <c r="C27" s="31" t="s">
        <v>97</v>
      </c>
      <c r="D27" s="31"/>
      <c r="E27" s="31"/>
      <c r="F27" s="31"/>
    </row>
    <row r="28" spans="2:6" x14ac:dyDescent="0.25">
      <c r="B28" s="11">
        <v>3</v>
      </c>
      <c r="C28" s="31" t="s">
        <v>98</v>
      </c>
      <c r="D28" s="31"/>
      <c r="E28" s="31"/>
      <c r="F28" s="31"/>
    </row>
    <row r="29" spans="2:6" x14ac:dyDescent="0.25">
      <c r="B29" s="11">
        <v>4</v>
      </c>
      <c r="C29" s="31" t="s">
        <v>99</v>
      </c>
      <c r="D29" s="31"/>
      <c r="E29" s="31"/>
      <c r="F29" s="31"/>
    </row>
    <row r="30" spans="2:6" x14ac:dyDescent="0.25">
      <c r="B30" s="11">
        <v>5</v>
      </c>
      <c r="C30" s="31" t="s">
        <v>100</v>
      </c>
      <c r="D30" s="31"/>
      <c r="E30" s="31"/>
      <c r="F30" s="31"/>
    </row>
    <row r="31" spans="2:6" x14ac:dyDescent="0.25">
      <c r="B31" s="11">
        <v>6</v>
      </c>
      <c r="C31" s="31" t="s">
        <v>101</v>
      </c>
      <c r="D31" s="31"/>
      <c r="E31" s="31"/>
      <c r="F31" s="31"/>
    </row>
    <row r="32" spans="2:6" x14ac:dyDescent="0.25">
      <c r="B32" s="11">
        <v>7</v>
      </c>
      <c r="C32" s="31" t="s">
        <v>102</v>
      </c>
      <c r="D32" s="31"/>
      <c r="E32" s="31"/>
      <c r="F32" s="31"/>
    </row>
    <row r="33" spans="2:6" x14ac:dyDescent="0.25">
      <c r="B33" s="11">
        <v>8</v>
      </c>
      <c r="C33" s="31" t="s">
        <v>103</v>
      </c>
      <c r="D33" s="31"/>
      <c r="E33" s="31"/>
      <c r="F33" s="31"/>
    </row>
    <row r="34" spans="2:6" x14ac:dyDescent="0.25">
      <c r="B34" s="11">
        <v>9</v>
      </c>
      <c r="C34" s="31" t="s">
        <v>104</v>
      </c>
      <c r="D34" s="31"/>
      <c r="E34" s="31"/>
      <c r="F34" s="31"/>
    </row>
    <row r="35" spans="2:6" x14ac:dyDescent="0.25">
      <c r="B35" s="11">
        <v>10</v>
      </c>
      <c r="C35" s="31" t="s">
        <v>105</v>
      </c>
      <c r="D35" s="31"/>
      <c r="E35" s="31"/>
      <c r="F35" s="31"/>
    </row>
    <row r="36" spans="2:6" x14ac:dyDescent="0.25">
      <c r="B36" s="11">
        <v>11</v>
      </c>
      <c r="C36" s="31" t="s">
        <v>106</v>
      </c>
      <c r="D36" s="31"/>
      <c r="E36" s="31"/>
      <c r="F36" s="31"/>
    </row>
    <row r="37" spans="2:6" x14ac:dyDescent="0.25">
      <c r="B37" s="11">
        <v>12</v>
      </c>
      <c r="C37" s="31" t="s">
        <v>107</v>
      </c>
      <c r="D37" s="31"/>
      <c r="E37" s="31"/>
      <c r="F37" s="31"/>
    </row>
    <row r="38" spans="2:6" x14ac:dyDescent="0.25">
      <c r="B38" s="11">
        <v>13</v>
      </c>
      <c r="C38" s="31" t="s">
        <v>108</v>
      </c>
      <c r="D38" s="31"/>
      <c r="E38" s="31"/>
      <c r="F38" s="31"/>
    </row>
    <row r="39" spans="2:6" x14ac:dyDescent="0.25">
      <c r="B39" s="11">
        <v>14</v>
      </c>
      <c r="C39" s="31" t="s">
        <v>109</v>
      </c>
      <c r="D39" s="31"/>
      <c r="E39" s="31"/>
      <c r="F39" s="31"/>
    </row>
    <row r="40" spans="2:6" x14ac:dyDescent="0.25">
      <c r="B40" s="11">
        <v>15</v>
      </c>
      <c r="C40" s="31" t="s">
        <v>110</v>
      </c>
      <c r="D40" s="31"/>
      <c r="E40" s="31"/>
      <c r="F40" s="31"/>
    </row>
    <row r="41" spans="2:6" x14ac:dyDescent="0.25">
      <c r="B41" s="11">
        <v>16</v>
      </c>
      <c r="C41" s="31" t="s">
        <v>111</v>
      </c>
      <c r="D41" s="31"/>
      <c r="E41" s="31"/>
      <c r="F41" s="31"/>
    </row>
    <row r="42" spans="2:6" x14ac:dyDescent="0.25">
      <c r="B42" s="11">
        <v>17</v>
      </c>
      <c r="C42" s="31" t="s">
        <v>112</v>
      </c>
      <c r="D42" s="31"/>
      <c r="E42" s="31"/>
      <c r="F42" s="31"/>
    </row>
    <row r="43" spans="2:6" x14ac:dyDescent="0.25">
      <c r="B43" s="11">
        <v>18</v>
      </c>
      <c r="C43" s="31" t="s">
        <v>113</v>
      </c>
      <c r="D43" s="31"/>
      <c r="E43" s="31"/>
      <c r="F43" s="31"/>
    </row>
    <row r="44" spans="2:6" x14ac:dyDescent="0.25">
      <c r="B44" s="11">
        <v>19</v>
      </c>
      <c r="C44" s="31" t="s">
        <v>114</v>
      </c>
      <c r="D44" s="31"/>
      <c r="E44" s="31"/>
      <c r="F44" s="31"/>
    </row>
    <row r="45" spans="2:6" x14ac:dyDescent="0.25">
      <c r="B45" s="11">
        <v>20</v>
      </c>
      <c r="C45" s="31" t="s">
        <v>115</v>
      </c>
      <c r="D45" s="31"/>
      <c r="E45" s="31"/>
      <c r="F45" s="31"/>
    </row>
    <row r="46" spans="2:6" x14ac:dyDescent="0.25">
      <c r="B46" s="11">
        <v>21</v>
      </c>
      <c r="C46" s="31" t="s">
        <v>116</v>
      </c>
      <c r="D46" s="31"/>
      <c r="E46" s="31"/>
      <c r="F46" s="31"/>
    </row>
    <row r="47" spans="2:6" x14ac:dyDescent="0.25">
      <c r="B47" s="11">
        <v>22</v>
      </c>
      <c r="C47" s="31" t="s">
        <v>117</v>
      </c>
      <c r="D47" s="31"/>
      <c r="E47" s="31"/>
      <c r="F47" s="31"/>
    </row>
    <row r="48" spans="2:6" x14ac:dyDescent="0.25">
      <c r="B48" s="11">
        <v>23</v>
      </c>
      <c r="C48" s="31" t="s">
        <v>118</v>
      </c>
      <c r="D48" s="31"/>
      <c r="E48" s="31"/>
      <c r="F48" s="31"/>
    </row>
    <row r="49" spans="2:6" x14ac:dyDescent="0.25">
      <c r="B49" s="11">
        <v>24</v>
      </c>
      <c r="C49" s="31" t="s">
        <v>119</v>
      </c>
      <c r="D49" s="31"/>
      <c r="E49" s="31"/>
      <c r="F49" s="31"/>
    </row>
    <row r="50" spans="2:6" x14ac:dyDescent="0.25">
      <c r="B50" s="11">
        <v>25</v>
      </c>
      <c r="C50" s="31" t="s">
        <v>120</v>
      </c>
      <c r="D50" s="31"/>
      <c r="E50" s="31"/>
      <c r="F50" s="31"/>
    </row>
    <row r="51" spans="2:6" x14ac:dyDescent="0.25">
      <c r="B51" s="11">
        <v>26</v>
      </c>
      <c r="C51" s="31" t="s">
        <v>121</v>
      </c>
      <c r="D51" s="31"/>
      <c r="E51" s="31"/>
      <c r="F51" s="31"/>
    </row>
    <row r="52" spans="2:6" x14ac:dyDescent="0.25">
      <c r="B52" s="11">
        <v>27</v>
      </c>
      <c r="C52" s="31" t="s">
        <v>122</v>
      </c>
      <c r="D52" s="31"/>
      <c r="E52" s="31"/>
      <c r="F52" s="31"/>
    </row>
    <row r="53" spans="2:6" x14ac:dyDescent="0.25">
      <c r="B53" s="11">
        <v>28</v>
      </c>
      <c r="C53" s="31" t="s">
        <v>123</v>
      </c>
      <c r="D53" s="31"/>
      <c r="E53" s="31"/>
      <c r="F53" s="31"/>
    </row>
    <row r="56" spans="2:6" x14ac:dyDescent="0.25">
      <c r="B56" s="24" t="s">
        <v>129</v>
      </c>
      <c r="C56" s="25" t="s">
        <v>185</v>
      </c>
      <c r="D56" s="25"/>
      <c r="E56" s="25"/>
      <c r="F56" s="25"/>
    </row>
    <row r="57" spans="2:6" x14ac:dyDescent="0.25">
      <c r="B57" s="11">
        <v>1</v>
      </c>
      <c r="C57" s="31" t="s">
        <v>186</v>
      </c>
      <c r="D57" s="31"/>
      <c r="E57" s="31"/>
      <c r="F57" s="31"/>
    </row>
  </sheetData>
  <mergeCells count="34">
    <mergeCell ref="B2:F2"/>
    <mergeCell ref="B3:F3"/>
    <mergeCell ref="B4:F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6:F56"/>
    <mergeCell ref="C57:F57"/>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28"/>
  <sheetFormatPr defaultRowHeight="15" outlineLevelRow="0" outlineLevelCol="0" x14ac:dyDescent="55"/>
  <cols>
    <col min="1" max="2" width="7.75" customWidth="1"/>
    <col min="3" max="3" width="47.38" customWidth="1"/>
    <col min="4" max="4" width="16.75" customWidth="1"/>
    <col min="5" max="5" width="16.13" customWidth="1"/>
    <col min="6" max="6" width="84.88" customWidth="1"/>
    <col min="7" max="7" width="11" customWidth="1"/>
    <col min="8" max="8" width="22" customWidth="1"/>
    <col min="10" max="13" width="12" customWidth="1"/>
    <col min="14" max="26" width="7.75" customWidth="1"/>
  </cols>
  <sheetData>
    <row r="2" spans="2:6" x14ac:dyDescent="0.25">
      <c r="B2" s="18" t="s">
        <v>274</v>
      </c>
      <c r="C2" s="18"/>
      <c r="D2" s="18"/>
      <c r="E2" s="18"/>
      <c r="F2" s="18"/>
    </row>
    <row r="3" spans="2:6" x14ac:dyDescent="0.25">
      <c r="B3" s="19" t="s">
        <v>8</v>
      </c>
      <c r="C3" s="19"/>
      <c r="D3" s="19"/>
      <c r="E3" s="19"/>
      <c r="F3" s="19"/>
    </row>
    <row r="4" spans="2:6" x14ac:dyDescent="0.25">
      <c r="B4" s="20" t="s">
        <v>125</v>
      </c>
      <c r="C4" s="20"/>
      <c r="D4" s="20"/>
      <c r="E4" s="20"/>
      <c r="F4" s="20"/>
    </row>
    <row r="6" spans="2:2" x14ac:dyDescent="0.25">
      <c r="B6" s="28" t="s">
        <v>275</v>
      </c>
    </row>
    <row r="7" spans="2:2" x14ac:dyDescent="0.25">
      <c r="B7" s="36" t="s">
        <v>187</v>
      </c>
    </row>
    <row r="8" spans="2:13" x14ac:dyDescent="0.25">
      <c r="B8" s="24" t="s">
        <v>129</v>
      </c>
      <c r="C8" s="25" t="s">
        <v>130</v>
      </c>
      <c r="D8" s="26" t="s">
        <v>14</v>
      </c>
      <c r="E8" s="26" t="s">
        <v>15</v>
      </c>
      <c r="F8" s="24" t="s">
        <v>16</v>
      </c>
      <c r="G8" s="24" t="s">
        <v>131</v>
      </c>
      <c r="H8" s="24" t="s">
        <v>132</v>
      </c>
      <c r="I8" s="24" t="s">
        <v>133</v>
      </c>
      <c r="J8" s="24" t="s">
        <v>17</v>
      </c>
      <c r="K8" s="24" t="s">
        <v>18</v>
      </c>
      <c r="L8" s="24" t="s">
        <v>134</v>
      </c>
      <c r="M8" s="24" t="s">
        <v>135</v>
      </c>
    </row>
    <row r="9" spans="2:13" x14ac:dyDescent="0.25">
      <c r="B9" s="11">
        <v>1</v>
      </c>
      <c r="C9" s="31" t="s">
        <v>179</v>
      </c>
      <c r="D9" s="32">
        <v>0</v>
      </c>
      <c r="E9" s="32">
        <v>0</v>
      </c>
      <c r="F9" s="9" t="s">
        <v>42</v>
      </c>
      <c r="G9" t="s">
        <v>42</v>
      </c>
      <c r="H9" t="s">
        <v>42</v>
      </c>
      <c r="I9" t="s">
        <v>42</v>
      </c>
      <c r="J9" s="16">
        <v>0</v>
      </c>
      <c r="K9" s="16">
        <v>0</v>
      </c>
      <c r="L9" s="16">
        <v>0</v>
      </c>
      <c r="M9" s="16">
        <v>0</v>
      </c>
    </row>
    <row r="10" spans="3:13" x14ac:dyDescent="0.25">
      <c r="C10" s="33" t="s">
        <v>276</v>
      </c>
      <c r="D10" s="34">
        <f>SUM(D9:D9)</f>
        <v>0</v>
      </c>
      <c r="E10" s="34">
        <f>SUM(E9:E9)</f>
        <v>0</v>
      </c>
      <c r="J10" s="17">
        <f>SUM(J9:J9)</f>
        <v>0</v>
      </c>
      <c r="K10" s="17">
        <f>SUM(K9:K9)</f>
        <v>0</v>
      </c>
      <c r="L10" s="17">
        <f>SUM(L9:L9)</f>
        <v>0</v>
      </c>
      <c r="M10" s="17">
        <f>SUM(M9:M9)</f>
        <v>0</v>
      </c>
    </row>
    <row r="13" spans="2:2" x14ac:dyDescent="0.25">
      <c r="B13" s="28" t="s">
        <v>277</v>
      </c>
    </row>
    <row r="14" spans="2:13" x14ac:dyDescent="0.25">
      <c r="B14" s="24" t="s">
        <v>129</v>
      </c>
      <c r="C14" s="25" t="s">
        <v>130</v>
      </c>
      <c r="D14" s="26" t="s">
        <v>14</v>
      </c>
      <c r="E14" s="26" t="s">
        <v>15</v>
      </c>
      <c r="F14" s="24" t="s">
        <v>16</v>
      </c>
      <c r="G14" s="24" t="s">
        <v>131</v>
      </c>
      <c r="H14" s="24" t="s">
        <v>132</v>
      </c>
      <c r="I14" s="24" t="s">
        <v>133</v>
      </c>
      <c r="J14" s="24" t="s">
        <v>17</v>
      </c>
      <c r="K14" s="24" t="s">
        <v>18</v>
      </c>
      <c r="L14" s="24" t="s">
        <v>134</v>
      </c>
      <c r="M14" s="24" t="s">
        <v>135</v>
      </c>
    </row>
    <row r="15" spans="2:13" x14ac:dyDescent="0.25">
      <c r="B15" s="11">
        <v>1</v>
      </c>
      <c r="C15" s="31" t="s">
        <v>278</v>
      </c>
      <c r="D15" s="32">
        <v>4</v>
      </c>
      <c r="E15" s="32">
        <v>8</v>
      </c>
      <c r="F15" s="9" t="s">
        <v>279</v>
      </c>
      <c r="G15" t="s">
        <v>257</v>
      </c>
      <c r="H15" t="s">
        <v>42</v>
      </c>
      <c r="I15" t="s">
        <v>280</v>
      </c>
      <c r="J15" s="16">
        <v>0</v>
      </c>
      <c r="K15" s="16">
        <v>0</v>
      </c>
      <c r="L15" s="16">
        <v>0</v>
      </c>
      <c r="M15" s="16">
        <v>0</v>
      </c>
    </row>
    <row r="16" spans="3:13" x14ac:dyDescent="0.25">
      <c r="C16" s="33" t="s">
        <v>281</v>
      </c>
      <c r="D16" s="34">
        <f>SUM(D15:D15)</f>
        <v>4</v>
      </c>
      <c r="E16" s="34">
        <f>SUM(E15:E15)</f>
        <v>8</v>
      </c>
      <c r="J16" s="17">
        <f>SUM(J15:J15)</f>
        <v>0</v>
      </c>
      <c r="K16" s="17">
        <f>SUM(K15:K15)</f>
        <v>0</v>
      </c>
      <c r="L16" s="17">
        <f>SUM(L15:L15)</f>
        <v>0</v>
      </c>
      <c r="M16" s="17">
        <f>SUM(M15:M15)</f>
        <v>0</v>
      </c>
    </row>
    <row r="19" spans="2:2" x14ac:dyDescent="0.25">
      <c r="B19" s="28" t="s">
        <v>282</v>
      </c>
    </row>
    <row r="20" spans="2:13" x14ac:dyDescent="0.25">
      <c r="B20" s="24" t="s">
        <v>129</v>
      </c>
      <c r="C20" s="25" t="s">
        <v>130</v>
      </c>
      <c r="D20" s="26" t="s">
        <v>14</v>
      </c>
      <c r="E20" s="26" t="s">
        <v>15</v>
      </c>
      <c r="F20" s="24" t="s">
        <v>16</v>
      </c>
      <c r="G20" s="24" t="s">
        <v>131</v>
      </c>
      <c r="H20" s="24" t="s">
        <v>132</v>
      </c>
      <c r="I20" s="24" t="s">
        <v>133</v>
      </c>
      <c r="J20" s="24" t="s">
        <v>17</v>
      </c>
      <c r="K20" s="24" t="s">
        <v>18</v>
      </c>
      <c r="L20" s="24" t="s">
        <v>134</v>
      </c>
      <c r="M20" s="24" t="s">
        <v>135</v>
      </c>
    </row>
    <row r="21" spans="2:13" x14ac:dyDescent="0.25">
      <c r="B21" s="11">
        <v>1</v>
      </c>
      <c r="C21" s="31" t="s">
        <v>283</v>
      </c>
      <c r="D21" s="32">
        <v>0</v>
      </c>
      <c r="E21" s="32">
        <v>0</v>
      </c>
      <c r="F21" s="9" t="s">
        <v>284</v>
      </c>
      <c r="G21" t="s">
        <v>144</v>
      </c>
      <c r="H21" t="s">
        <v>42</v>
      </c>
      <c r="I21" t="s">
        <v>285</v>
      </c>
      <c r="J21" s="16">
        <v>2.88</v>
      </c>
      <c r="K21" s="16">
        <v>5.76</v>
      </c>
      <c r="L21" s="16">
        <v>0.36</v>
      </c>
      <c r="M21" s="16">
        <v>1.2</v>
      </c>
    </row>
    <row r="22" spans="3:13" x14ac:dyDescent="0.25">
      <c r="C22" s="33" t="s">
        <v>286</v>
      </c>
      <c r="D22" s="34">
        <f>SUM(D21:D21)</f>
        <v>0</v>
      </c>
      <c r="E22" s="34">
        <f>SUM(E21:E21)</f>
        <v>0</v>
      </c>
      <c r="J22" s="17">
        <f>SUM(J21:J21)</f>
        <v>2.88</v>
      </c>
      <c r="K22" s="17">
        <f>SUM(K21:K21)</f>
        <v>5.76</v>
      </c>
      <c r="L22" s="17">
        <f>SUM(L21:L21)</f>
        <v>0.36</v>
      </c>
      <c r="M22" s="17">
        <f>SUM(M21:M21)</f>
        <v>1.2</v>
      </c>
    </row>
    <row r="25" spans="2:2" x14ac:dyDescent="0.25">
      <c r="B25" s="28" t="s">
        <v>287</v>
      </c>
    </row>
    <row r="26" spans="2:13" x14ac:dyDescent="0.25">
      <c r="B26" s="24" t="s">
        <v>129</v>
      </c>
      <c r="C26" s="25" t="s">
        <v>130</v>
      </c>
      <c r="D26" s="26" t="s">
        <v>14</v>
      </c>
      <c r="E26" s="26" t="s">
        <v>15</v>
      </c>
      <c r="F26" s="24" t="s">
        <v>16</v>
      </c>
      <c r="G26" s="24" t="s">
        <v>131</v>
      </c>
      <c r="H26" s="24" t="s">
        <v>132</v>
      </c>
      <c r="I26" s="24" t="s">
        <v>133</v>
      </c>
      <c r="J26" s="24" t="s">
        <v>17</v>
      </c>
      <c r="K26" s="24" t="s">
        <v>18</v>
      </c>
      <c r="L26" s="24" t="s">
        <v>134</v>
      </c>
      <c r="M26" s="24" t="s">
        <v>135</v>
      </c>
    </row>
    <row r="27" spans="2:13" x14ac:dyDescent="0.25">
      <c r="B27" s="11">
        <v>1</v>
      </c>
      <c r="C27" s="31" t="s">
        <v>179</v>
      </c>
      <c r="D27" s="32">
        <v>0</v>
      </c>
      <c r="E27" s="32">
        <v>0</v>
      </c>
      <c r="F27" s="9" t="s">
        <v>42</v>
      </c>
      <c r="G27" t="s">
        <v>42</v>
      </c>
      <c r="H27" t="s">
        <v>42</v>
      </c>
      <c r="I27" t="s">
        <v>42</v>
      </c>
      <c r="J27" s="16">
        <v>0</v>
      </c>
      <c r="K27" s="16">
        <v>0</v>
      </c>
      <c r="L27" s="16">
        <v>0</v>
      </c>
      <c r="M27" s="16">
        <v>0</v>
      </c>
    </row>
    <row r="28" spans="3:13" x14ac:dyDescent="0.25">
      <c r="C28" s="33" t="s">
        <v>288</v>
      </c>
      <c r="D28" s="34">
        <f>SUM(D27:D27)</f>
        <v>0</v>
      </c>
      <c r="E28" s="34">
        <f>SUM(E27:E27)</f>
        <v>0</v>
      </c>
      <c r="J28" s="17">
        <f>SUM(J27:J27)</f>
        <v>0</v>
      </c>
      <c r="K28" s="17">
        <f>SUM(K27:K27)</f>
        <v>0</v>
      </c>
      <c r="L28" s="17">
        <f>SUM(L27:L27)</f>
        <v>0</v>
      </c>
      <c r="M28" s="17">
        <f>SUM(M27:M27)</f>
        <v>0</v>
      </c>
    </row>
  </sheetData>
  <mergeCells count="3">
    <mergeCell ref="B2:F2"/>
    <mergeCell ref="B3:F3"/>
    <mergeCell ref="B4:F4"/>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31"/>
  <sheetViews>
    <sheetView workbookViewId="0">
      <pane ySplit="4" topLeftCell="A5" activePane="bottomLeft" state="frozen"/>
      <selection pane="bottomLeft"/>
    </sheetView>
  </sheetViews>
  <sheetFormatPr defaultRowHeight="15" outlineLevelRow="0" outlineLevelCol="0" x14ac:dyDescent="55"/>
  <cols>
    <col min="3" max="3" width="46" customWidth="1"/>
    <col min="4" max="4" width="10" customWidth="1"/>
    <col min="5" max="5" width="30" customWidth="1"/>
    <col min="6" max="6" width="10" customWidth="1"/>
    <col min="7" max="7" width="22" customWidth="1"/>
    <col min="8" max="11" width="13" customWidth="1"/>
    <col min="12" max="13" width="12" customWidth="1"/>
  </cols>
  <sheetData>
    <row r="1" spans="2:2" x14ac:dyDescent="0.25">
      <c r="B1" s="37" t="s">
        <v>289</v>
      </c>
    </row>
    <row r="2" spans="2:2" x14ac:dyDescent="0.25">
      <c r="B2" t="s">
        <v>290</v>
      </c>
    </row>
    <row r="4" spans="2:13" x14ac:dyDescent="0.25">
      <c r="B4" s="38" t="s">
        <v>133</v>
      </c>
      <c r="C4" s="38" t="s">
        <v>130</v>
      </c>
      <c r="D4" s="38" t="s">
        <v>291</v>
      </c>
      <c r="E4" s="38" t="s">
        <v>292</v>
      </c>
      <c r="F4" s="38" t="s">
        <v>131</v>
      </c>
      <c r="G4" s="38" t="s">
        <v>132</v>
      </c>
      <c r="H4" s="38" t="s">
        <v>14</v>
      </c>
      <c r="I4" s="38" t="s">
        <v>15</v>
      </c>
      <c r="J4" s="38" t="s">
        <v>17</v>
      </c>
      <c r="K4" s="38" t="s">
        <v>18</v>
      </c>
      <c r="L4" s="38" t="s">
        <v>134</v>
      </c>
      <c r="M4" s="38" t="s">
        <v>135</v>
      </c>
    </row>
    <row r="5" spans="2:13" x14ac:dyDescent="0.25">
      <c r="B5" t="s">
        <v>140</v>
      </c>
      <c r="C5" t="s">
        <v>137</v>
      </c>
      <c r="D5" t="s">
        <v>293</v>
      </c>
      <c r="E5" t="s">
        <v>136</v>
      </c>
      <c r="F5" t="s">
        <v>139</v>
      </c>
      <c r="G5" t="s">
        <v>42</v>
      </c>
      <c r="H5" s="16">
        <v>17.47</v>
      </c>
      <c r="I5" s="16">
        <v>30.58</v>
      </c>
      <c r="J5" s="16">
        <v>17.47</v>
      </c>
      <c r="K5" s="16">
        <v>30.58</v>
      </c>
      <c r="L5" s="16">
        <v>1.99</v>
      </c>
      <c r="M5" s="16">
        <v>6.7</v>
      </c>
    </row>
    <row r="6" spans="2:13" x14ac:dyDescent="0.25">
      <c r="B6" t="s">
        <v>155</v>
      </c>
      <c r="C6" t="s">
        <v>152</v>
      </c>
      <c r="D6" t="s">
        <v>293</v>
      </c>
      <c r="E6" t="s">
        <v>151</v>
      </c>
      <c r="F6" t="s">
        <v>144</v>
      </c>
      <c r="G6" t="s">
        <v>154</v>
      </c>
      <c r="H6" s="16">
        <v>0</v>
      </c>
      <c r="I6" s="16">
        <v>0</v>
      </c>
      <c r="J6" s="16">
        <v>2.16</v>
      </c>
      <c r="K6" s="16">
        <v>4.32</v>
      </c>
      <c r="L6" s="16">
        <v>0.27</v>
      </c>
      <c r="M6" s="16">
        <v>0.9</v>
      </c>
    </row>
    <row r="7" spans="2:13" x14ac:dyDescent="0.25">
      <c r="B7" t="s">
        <v>164</v>
      </c>
      <c r="C7" t="s">
        <v>161</v>
      </c>
      <c r="D7" t="s">
        <v>293</v>
      </c>
      <c r="E7" t="s">
        <v>160</v>
      </c>
      <c r="F7" t="s">
        <v>139</v>
      </c>
      <c r="G7" t="s">
        <v>163</v>
      </c>
      <c r="H7" s="16">
        <v>13.1</v>
      </c>
      <c r="I7" s="16">
        <v>20.97</v>
      </c>
      <c r="J7" s="16">
        <v>13.1</v>
      </c>
      <c r="K7" s="16">
        <v>20.97</v>
      </c>
      <c r="L7" s="16">
        <v>1.41</v>
      </c>
      <c r="M7" s="16">
        <v>4.75</v>
      </c>
    </row>
    <row r="8" spans="2:13" x14ac:dyDescent="0.25">
      <c r="B8" t="s">
        <v>146</v>
      </c>
      <c r="C8" t="s">
        <v>142</v>
      </c>
      <c r="D8" t="s">
        <v>293</v>
      </c>
      <c r="E8" t="s">
        <v>141</v>
      </c>
      <c r="F8" t="s">
        <v>144</v>
      </c>
      <c r="G8" t="s">
        <v>145</v>
      </c>
      <c r="H8" s="16">
        <v>0</v>
      </c>
      <c r="I8" s="16">
        <v>0</v>
      </c>
      <c r="J8" s="16">
        <v>3.9</v>
      </c>
      <c r="K8" s="16">
        <v>7.8</v>
      </c>
      <c r="L8" s="16">
        <v>0.49</v>
      </c>
      <c r="M8" s="16">
        <v>1.63</v>
      </c>
    </row>
    <row r="9" spans="2:13" x14ac:dyDescent="0.25">
      <c r="B9" t="s">
        <v>150</v>
      </c>
      <c r="C9" t="s">
        <v>147</v>
      </c>
      <c r="D9" t="s">
        <v>293</v>
      </c>
      <c r="E9" t="s">
        <v>141</v>
      </c>
      <c r="F9" t="s">
        <v>144</v>
      </c>
      <c r="G9" t="s">
        <v>149</v>
      </c>
      <c r="H9" s="16">
        <v>0</v>
      </c>
      <c r="I9" s="16">
        <v>0</v>
      </c>
      <c r="J9" s="16">
        <v>1.62</v>
      </c>
      <c r="K9" s="16">
        <v>3.24</v>
      </c>
      <c r="L9" s="16">
        <v>0.2</v>
      </c>
      <c r="M9" s="16">
        <v>0.68</v>
      </c>
    </row>
    <row r="10" spans="2:13" x14ac:dyDescent="0.25">
      <c r="B10" t="s">
        <v>159</v>
      </c>
      <c r="C10" t="s">
        <v>156</v>
      </c>
      <c r="D10" t="s">
        <v>293</v>
      </c>
      <c r="E10" t="s">
        <v>151</v>
      </c>
      <c r="F10" t="s">
        <v>144</v>
      </c>
      <c r="G10" t="s">
        <v>158</v>
      </c>
      <c r="H10" s="16">
        <v>0</v>
      </c>
      <c r="I10" s="16">
        <v>0</v>
      </c>
      <c r="J10" s="16">
        <v>12.8</v>
      </c>
      <c r="K10" s="16">
        <v>22.4</v>
      </c>
      <c r="L10" s="16">
        <v>1.46</v>
      </c>
      <c r="M10" s="16">
        <v>4.91</v>
      </c>
    </row>
    <row r="11" spans="2:13" x14ac:dyDescent="0.25">
      <c r="B11" t="s">
        <v>168</v>
      </c>
      <c r="C11" t="s">
        <v>165</v>
      </c>
      <c r="D11" t="s">
        <v>293</v>
      </c>
      <c r="E11" t="s">
        <v>160</v>
      </c>
      <c r="F11" t="s">
        <v>144</v>
      </c>
      <c r="G11" t="s">
        <v>167</v>
      </c>
      <c r="H11" s="16">
        <v>0</v>
      </c>
      <c r="I11" s="16">
        <v>0</v>
      </c>
      <c r="J11" s="16">
        <v>2.7</v>
      </c>
      <c r="K11" s="16">
        <v>5.4</v>
      </c>
      <c r="L11" s="16">
        <v>0.34</v>
      </c>
      <c r="M11" s="16">
        <v>1.13</v>
      </c>
    </row>
    <row r="12" spans="2:13" x14ac:dyDescent="0.25">
      <c r="B12" t="s">
        <v>172</v>
      </c>
      <c r="C12" t="s">
        <v>169</v>
      </c>
      <c r="D12" t="s">
        <v>293</v>
      </c>
      <c r="E12" t="s">
        <v>160</v>
      </c>
      <c r="F12" t="s">
        <v>144</v>
      </c>
      <c r="G12" t="s">
        <v>171</v>
      </c>
      <c r="H12" s="16">
        <v>0</v>
      </c>
      <c r="I12" s="16">
        <v>0</v>
      </c>
      <c r="J12" s="16">
        <v>1.62</v>
      </c>
      <c r="K12" s="16">
        <v>3.24</v>
      </c>
      <c r="L12" s="16">
        <v>0.2</v>
      </c>
      <c r="M12" s="16">
        <v>0.68</v>
      </c>
    </row>
    <row r="13" spans="2:13" x14ac:dyDescent="0.25">
      <c r="B13" t="s">
        <v>176</v>
      </c>
      <c r="C13" t="s">
        <v>173</v>
      </c>
      <c r="D13" t="s">
        <v>293</v>
      </c>
      <c r="E13" t="s">
        <v>160</v>
      </c>
      <c r="F13" t="s">
        <v>144</v>
      </c>
      <c r="G13" t="s">
        <v>175</v>
      </c>
      <c r="H13" s="16">
        <v>0</v>
      </c>
      <c r="I13" s="16">
        <v>0</v>
      </c>
      <c r="J13" s="16">
        <v>7.21</v>
      </c>
      <c r="K13" s="16">
        <v>12.61</v>
      </c>
      <c r="L13" s="16">
        <v>0.82</v>
      </c>
      <c r="M13" s="16">
        <v>2.76</v>
      </c>
    </row>
    <row r="14" spans="2:13" x14ac:dyDescent="0.25">
      <c r="B14" t="s">
        <v>191</v>
      </c>
      <c r="C14" t="s">
        <v>188</v>
      </c>
      <c r="D14" t="s">
        <v>294</v>
      </c>
      <c r="E14" t="s">
        <v>136</v>
      </c>
      <c r="F14" t="s">
        <v>144</v>
      </c>
      <c r="G14" t="s">
        <v>190</v>
      </c>
      <c r="H14" s="16">
        <v>0</v>
      </c>
      <c r="I14" s="16">
        <v>0</v>
      </c>
      <c r="J14" s="16">
        <v>5.76</v>
      </c>
      <c r="K14" s="16">
        <v>10.08</v>
      </c>
      <c r="L14" s="16">
        <v>0.66</v>
      </c>
      <c r="M14" s="16">
        <v>2.21</v>
      </c>
    </row>
    <row r="15" spans="2:13" x14ac:dyDescent="0.25">
      <c r="B15" t="s">
        <v>203</v>
      </c>
      <c r="C15" t="s">
        <v>200</v>
      </c>
      <c r="D15" t="s">
        <v>294</v>
      </c>
      <c r="E15" t="s">
        <v>199</v>
      </c>
      <c r="F15" t="s">
        <v>144</v>
      </c>
      <c r="G15" t="s">
        <v>202</v>
      </c>
      <c r="H15" s="16">
        <v>0</v>
      </c>
      <c r="I15" s="16">
        <v>0</v>
      </c>
      <c r="J15" s="16">
        <v>7.02</v>
      </c>
      <c r="K15" s="16">
        <v>11.7</v>
      </c>
      <c r="L15" s="16">
        <v>0.78</v>
      </c>
      <c r="M15" s="16">
        <v>2.61</v>
      </c>
    </row>
    <row r="16" spans="2:13" x14ac:dyDescent="0.25">
      <c r="B16" t="s">
        <v>198</v>
      </c>
      <c r="C16" t="s">
        <v>195</v>
      </c>
      <c r="D16" t="s">
        <v>294</v>
      </c>
      <c r="E16" t="s">
        <v>141</v>
      </c>
      <c r="F16" t="s">
        <v>144</v>
      </c>
      <c r="G16" t="s">
        <v>197</v>
      </c>
      <c r="H16" s="16">
        <v>0</v>
      </c>
      <c r="I16" s="16">
        <v>0</v>
      </c>
      <c r="J16" s="16">
        <v>6</v>
      </c>
      <c r="K16" s="16">
        <v>10</v>
      </c>
      <c r="L16" s="16">
        <v>0.66</v>
      </c>
      <c r="M16" s="16">
        <v>2.23</v>
      </c>
    </row>
    <row r="17" spans="2:13" x14ac:dyDescent="0.25">
      <c r="B17" t="s">
        <v>207</v>
      </c>
      <c r="C17" t="s">
        <v>204</v>
      </c>
      <c r="D17" t="s">
        <v>294</v>
      </c>
      <c r="E17" t="s">
        <v>199</v>
      </c>
      <c r="F17" t="s">
        <v>144</v>
      </c>
      <c r="G17" t="s">
        <v>206</v>
      </c>
      <c r="H17" s="16">
        <v>0</v>
      </c>
      <c r="I17" s="16">
        <v>0</v>
      </c>
      <c r="J17" s="16">
        <v>19.6</v>
      </c>
      <c r="K17" s="16">
        <v>30.8</v>
      </c>
      <c r="L17" s="16">
        <v>2.09</v>
      </c>
      <c r="M17" s="16">
        <v>7.03</v>
      </c>
    </row>
    <row r="18" spans="2:13" x14ac:dyDescent="0.25">
      <c r="B18" t="s">
        <v>211</v>
      </c>
      <c r="C18" t="s">
        <v>208</v>
      </c>
      <c r="D18" t="s">
        <v>294</v>
      </c>
      <c r="E18" t="s">
        <v>199</v>
      </c>
      <c r="F18" t="s">
        <v>144</v>
      </c>
      <c r="G18" t="s">
        <v>210</v>
      </c>
      <c r="H18" s="16">
        <v>0</v>
      </c>
      <c r="I18" s="16">
        <v>0</v>
      </c>
      <c r="J18" s="16">
        <v>5.04</v>
      </c>
      <c r="K18" s="16">
        <v>8.4</v>
      </c>
      <c r="L18" s="16">
        <v>0.56</v>
      </c>
      <c r="M18" s="16">
        <v>1.87</v>
      </c>
    </row>
    <row r="19" spans="2:13" x14ac:dyDescent="0.25">
      <c r="B19" t="s">
        <v>215</v>
      </c>
      <c r="C19" t="s">
        <v>212</v>
      </c>
      <c r="D19" t="s">
        <v>294</v>
      </c>
      <c r="E19" t="s">
        <v>160</v>
      </c>
      <c r="F19" t="s">
        <v>144</v>
      </c>
      <c r="G19" t="s">
        <v>214</v>
      </c>
      <c r="H19" s="16">
        <v>0</v>
      </c>
      <c r="I19" s="16">
        <v>0</v>
      </c>
      <c r="J19" s="16">
        <v>8.4</v>
      </c>
      <c r="K19" s="16">
        <v>14</v>
      </c>
      <c r="L19" s="16">
        <v>0.93</v>
      </c>
      <c r="M19" s="16">
        <v>3.12</v>
      </c>
    </row>
    <row r="20" spans="2:13" x14ac:dyDescent="0.25">
      <c r="B20" t="s">
        <v>219</v>
      </c>
      <c r="C20" t="s">
        <v>216</v>
      </c>
      <c r="D20" t="s">
        <v>294</v>
      </c>
      <c r="E20" t="s">
        <v>160</v>
      </c>
      <c r="F20" t="s">
        <v>144</v>
      </c>
      <c r="G20" t="s">
        <v>218</v>
      </c>
      <c r="H20" s="16">
        <v>0</v>
      </c>
      <c r="I20" s="16">
        <v>0</v>
      </c>
      <c r="J20" s="16">
        <v>7</v>
      </c>
      <c r="K20" s="16">
        <v>11.2</v>
      </c>
      <c r="L20" s="16">
        <v>0.75</v>
      </c>
      <c r="M20" s="16">
        <v>2.54</v>
      </c>
    </row>
    <row r="21" spans="2:13" x14ac:dyDescent="0.25">
      <c r="B21" t="s">
        <v>233</v>
      </c>
      <c r="C21" t="s">
        <v>230</v>
      </c>
      <c r="D21" t="s">
        <v>295</v>
      </c>
      <c r="E21" t="s">
        <v>141</v>
      </c>
      <c r="F21" t="s">
        <v>144</v>
      </c>
      <c r="G21" t="s">
        <v>232</v>
      </c>
      <c r="H21" s="16">
        <v>0</v>
      </c>
      <c r="I21" s="16">
        <v>0</v>
      </c>
      <c r="J21" s="16">
        <v>3</v>
      </c>
      <c r="K21" s="16">
        <v>6</v>
      </c>
      <c r="L21" s="16">
        <v>0.37</v>
      </c>
      <c r="M21" s="16">
        <v>1.26</v>
      </c>
    </row>
    <row r="22" spans="2:13" x14ac:dyDescent="0.25">
      <c r="B22" t="s">
        <v>237</v>
      </c>
      <c r="C22" t="s">
        <v>234</v>
      </c>
      <c r="D22" t="s">
        <v>295</v>
      </c>
      <c r="E22" t="s">
        <v>199</v>
      </c>
      <c r="F22" t="s">
        <v>144</v>
      </c>
      <c r="G22" t="s">
        <v>236</v>
      </c>
      <c r="H22" s="16">
        <v>0</v>
      </c>
      <c r="I22" s="16">
        <v>0</v>
      </c>
      <c r="J22" s="16">
        <v>3</v>
      </c>
      <c r="K22" s="16">
        <v>6</v>
      </c>
      <c r="L22" s="16">
        <v>0.37</v>
      </c>
      <c r="M22" s="16">
        <v>1.26</v>
      </c>
    </row>
    <row r="23" spans="2:13" x14ac:dyDescent="0.25">
      <c r="B23" t="s">
        <v>241</v>
      </c>
      <c r="C23" t="s">
        <v>238</v>
      </c>
      <c r="D23" t="s">
        <v>295</v>
      </c>
      <c r="E23" t="s">
        <v>160</v>
      </c>
      <c r="F23" t="s">
        <v>144</v>
      </c>
      <c r="G23" t="s">
        <v>240</v>
      </c>
      <c r="H23" s="16">
        <v>0</v>
      </c>
      <c r="I23" s="16">
        <v>0</v>
      </c>
      <c r="J23" s="16">
        <v>3</v>
      </c>
      <c r="K23" s="16">
        <v>6</v>
      </c>
      <c r="L23" s="16">
        <v>0.37</v>
      </c>
      <c r="M23" s="16">
        <v>1.25</v>
      </c>
    </row>
    <row r="24" spans="2:13" x14ac:dyDescent="0.25">
      <c r="B24" t="s">
        <v>252</v>
      </c>
      <c r="C24" t="s">
        <v>249</v>
      </c>
      <c r="D24" t="s">
        <v>295</v>
      </c>
      <c r="E24" t="s">
        <v>136</v>
      </c>
      <c r="F24" t="s">
        <v>144</v>
      </c>
      <c r="G24" t="s">
        <v>251</v>
      </c>
      <c r="H24" s="16">
        <v>0</v>
      </c>
      <c r="I24" s="16">
        <v>0</v>
      </c>
      <c r="J24" s="16">
        <v>3.9</v>
      </c>
      <c r="K24" s="16">
        <v>7.8</v>
      </c>
      <c r="L24" s="16">
        <v>0.48</v>
      </c>
      <c r="M24" s="16">
        <v>1.63</v>
      </c>
    </row>
    <row r="25" spans="2:13" x14ac:dyDescent="0.25">
      <c r="B25" t="s">
        <v>267</v>
      </c>
      <c r="C25" t="s">
        <v>264</v>
      </c>
      <c r="D25" t="s">
        <v>295</v>
      </c>
      <c r="E25" t="s">
        <v>199</v>
      </c>
      <c r="F25" t="s">
        <v>144</v>
      </c>
      <c r="G25" t="s">
        <v>266</v>
      </c>
      <c r="H25" s="16">
        <v>0</v>
      </c>
      <c r="I25" s="16">
        <v>0</v>
      </c>
      <c r="J25" s="16">
        <v>6</v>
      </c>
      <c r="K25" s="16">
        <v>10</v>
      </c>
      <c r="L25" s="16">
        <v>0.66</v>
      </c>
      <c r="M25" s="16">
        <v>2.23</v>
      </c>
    </row>
    <row r="26" spans="2:13" x14ac:dyDescent="0.25">
      <c r="B26" t="s">
        <v>194</v>
      </c>
      <c r="C26" t="s">
        <v>192</v>
      </c>
      <c r="D26" t="s">
        <v>294</v>
      </c>
      <c r="E26" t="s">
        <v>136</v>
      </c>
      <c r="F26" t="s">
        <v>139</v>
      </c>
      <c r="G26" t="s">
        <v>42</v>
      </c>
      <c r="H26" s="16">
        <v>6.55</v>
      </c>
      <c r="I26" s="16">
        <v>13.1</v>
      </c>
      <c r="J26" s="16">
        <v>6.55</v>
      </c>
      <c r="K26" s="16">
        <v>13.1</v>
      </c>
      <c r="L26" s="16">
        <v>0.81</v>
      </c>
      <c r="M26" s="16">
        <v>2.74</v>
      </c>
    </row>
    <row r="27" spans="2:13" x14ac:dyDescent="0.25">
      <c r="B27" t="s">
        <v>273</v>
      </c>
      <c r="C27" t="s">
        <v>271</v>
      </c>
      <c r="D27" t="s">
        <v>296</v>
      </c>
      <c r="E27" t="s">
        <v>136</v>
      </c>
      <c r="F27" t="s">
        <v>257</v>
      </c>
      <c r="G27" t="s">
        <v>42</v>
      </c>
      <c r="H27" s="16">
        <v>2</v>
      </c>
      <c r="I27" s="16">
        <v>4</v>
      </c>
      <c r="J27" s="16">
        <v>0</v>
      </c>
      <c r="K27" s="16">
        <v>0</v>
      </c>
      <c r="L27" s="16">
        <v>0</v>
      </c>
      <c r="M27" s="16">
        <v>0</v>
      </c>
    </row>
    <row r="28" spans="2:13" x14ac:dyDescent="0.25">
      <c r="B28" t="s">
        <v>258</v>
      </c>
      <c r="C28" t="s">
        <v>255</v>
      </c>
      <c r="D28" t="s">
        <v>295</v>
      </c>
      <c r="E28" t="s">
        <v>136</v>
      </c>
      <c r="F28" t="s">
        <v>257</v>
      </c>
      <c r="G28" t="s">
        <v>42</v>
      </c>
      <c r="H28" s="16">
        <v>4</v>
      </c>
      <c r="I28" s="16">
        <v>8</v>
      </c>
      <c r="J28" s="16">
        <v>0</v>
      </c>
      <c r="K28" s="16">
        <v>0</v>
      </c>
      <c r="L28" s="16">
        <v>0</v>
      </c>
      <c r="M28" s="16">
        <v>0</v>
      </c>
    </row>
    <row r="29" spans="2:13" x14ac:dyDescent="0.25">
      <c r="B29" t="s">
        <v>280</v>
      </c>
      <c r="C29" t="s">
        <v>278</v>
      </c>
      <c r="D29" t="s">
        <v>277</v>
      </c>
      <c r="E29" t="s">
        <v>136</v>
      </c>
      <c r="F29" t="s">
        <v>257</v>
      </c>
      <c r="G29" t="s">
        <v>42</v>
      </c>
      <c r="H29" s="16">
        <v>4</v>
      </c>
      <c r="I29" s="16">
        <v>8</v>
      </c>
      <c r="J29" s="16">
        <v>0</v>
      </c>
      <c r="K29" s="16">
        <v>0</v>
      </c>
      <c r="L29" s="16">
        <v>0</v>
      </c>
      <c r="M29" s="16">
        <v>0</v>
      </c>
    </row>
    <row r="30" spans="2:13" x14ac:dyDescent="0.25">
      <c r="B30" t="s">
        <v>285</v>
      </c>
      <c r="C30" t="s">
        <v>283</v>
      </c>
      <c r="D30" t="s">
        <v>282</v>
      </c>
      <c r="E30" t="s">
        <v>136</v>
      </c>
      <c r="F30" t="s">
        <v>144</v>
      </c>
      <c r="G30" t="s">
        <v>42</v>
      </c>
      <c r="H30" s="16">
        <v>0</v>
      </c>
      <c r="I30" s="16">
        <v>0</v>
      </c>
      <c r="J30" s="16">
        <v>2.88</v>
      </c>
      <c r="K30" s="16">
        <v>5.76</v>
      </c>
      <c r="L30" s="16">
        <v>0.36</v>
      </c>
      <c r="M30" s="16">
        <v>1.2</v>
      </c>
    </row>
    <row r="31" spans="3:13" x14ac:dyDescent="0.25">
      <c r="C31" s="39" t="s">
        <v>297</v>
      </c>
      <c r="H31" s="17">
        <f>SUBTOTAL(9,H5:H30)</f>
        <v>47.12</v>
      </c>
      <c r="I31" s="17">
        <f>SUBTOTAL(9,I5:I30)</f>
        <v>84.65</v>
      </c>
      <c r="J31" s="17">
        <f>SUBTOTAL(9,J5:J30)</f>
        <v>149.73</v>
      </c>
      <c r="K31" s="17">
        <f>SUBTOTAL(9,K5:K30)</f>
        <v>261.4</v>
      </c>
      <c r="L31" s="17">
        <f>SUBTOTAL(9,L5:L30)</f>
        <v>17.03</v>
      </c>
      <c r="M31" s="17">
        <f>SUBTOTAL(9,M5:M30)</f>
        <v>57.32</v>
      </c>
    </row>
  </sheetData>
  <autoFilter ref="B4:M30"/>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Dev Backend Estimates</vt:lpstr>
      <vt:lpstr>Dev Mobile Estimates</vt:lpstr>
      <vt:lpstr>Dev Web Estimates</vt:lpstr>
      <vt:lpstr>QA Estimates</vt:lpstr>
      <vt:lpstr>Design Estimates</vt:lpstr>
      <vt:lpstr>Other Estimates</vt:lpstr>
      <vt:lpstr>All Tasks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 Factory</dc:creator>
  <dc:title>Estimation template (styles only)</dc:title>
  <cp:lastModifiedBy>Unknown</cp:lastModifiedBy>
  <dcterms:created xsi:type="dcterms:W3CDTF">2026-09-30T17:16:16Z</dcterms:created>
  <dcterms:modified xsi:type="dcterms:W3CDTF">2026-09-30T17:16:16Z</dcterms:modified>
</cp:coreProperties>
</file>