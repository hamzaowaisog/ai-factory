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 sheetId="8" name="All Tasks" state="visible" r:id="rId11"/>
    <sheet sheetId="9" name="Confidence" state="visible" r:id="rId12"/>
    <sheet sheetId="10" name="Anchors" state="visible" r:id="rId13"/>
    <sheet sheetId="11" name="Traceability" state="visible" r:id="rId14"/>
    <sheet sheetId="12" name="Parameters" state="visible" r:id="rId15"/>
    <sheet sheetId="13" name="Gates" state="visible" r:id="rId16"/>
  </sheets>
  <calcPr calcId="171027"/>
</workbook>
</file>

<file path=xl/sharedStrings.xml><?xml version="1.0" encoding="utf-8"?>
<sst xmlns="http://schemas.openxmlformats.org/spreadsheetml/2006/main" count="1396" uniqueCount="533">
  <si>
    <t>Folio3 Project Estimation</t>
  </si>
  <si>
    <t>Parts Quick Order</t>
  </si>
  <si>
    <t>Summary of Estimates</t>
  </si>
  <si>
    <t>Client Name</t>
  </si>
  <si>
    <t>Demo Garage</t>
  </si>
  <si>
    <t>Project Manager</t>
  </si>
  <si>
    <t>mhamza</t>
  </si>
  <si>
    <t>Date</t>
  </si>
  <si>
    <t>2026-10-05</t>
  </si>
  <si>
    <t>Version</t>
  </si>
  <si>
    <t>1</t>
  </si>
  <si>
    <t>Efforts (in hours)</t>
  </si>
  <si>
    <t>API credits (USD)</t>
  </si>
  <si>
    <t>Task Summary</t>
  </si>
  <si>
    <t>Minimum</t>
  </si>
  <si>
    <t>Maximum</t>
  </si>
  <si>
    <t>Comments</t>
  </si>
  <si>
    <t>API min ($)</t>
  </si>
  <si>
    <t>API max ($)</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</si>
  <si>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</si>
  <si>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</si>
  <si>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</si>
  <si>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</si>
  <si>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</si>
  <si>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</si>
  <si>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</si>
  <si>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</si>
  <si>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</si>
  <si>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</si>
  <si>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</si>
  <si>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</si>
  <si>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</si>
  <si>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</si>
  <si>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</si>
  <si>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</si>
  <si>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</si>
  <si>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</si>
  <si>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</si>
  <si>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</si>
  <si>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Project-level API (planning, design, breakdown and estimate, once per project)</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</si>
  <si>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</si>
  <si>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</si>
  <si>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</si>
  <si>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</si>
  <si>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</si>
  <si>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</si>
  <si>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</si>
  <si>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</si>
  <si>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</si>
  <si>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</si>
  <si>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</si>
  <si>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</si>
  <si>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</si>
  <si>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</si>
  <si>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</si>
  <si>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</si>
  <si>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</si>
  <si>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</si>
  <si>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</si>
  <si>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</si>
  <si>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</si>
  <si>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</si>
  <si>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</si>
  <si>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</si>
  <si>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</si>
  <si>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</si>
  <si>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</si>
  <si>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</si>
  <si>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</si>
  <si>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</si>
  <si>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Size band</t>
  </si>
  <si>
    <t>M</t>
  </si>
  <si>
    <t>API credit cost (USD)</t>
  </si>
  <si>
    <t>Phase</t>
  </si>
  <si>
    <t>Min ($)</t>
  </si>
  <si>
    <t>Max ($)</t>
  </si>
  <si>
    <t>Based on</t>
  </si>
  <si>
    <t>planning</t>
  </si>
  <si>
    <t>measured: p10-p90 of 4 runs (4 ledger)</t>
  </si>
  <si>
    <t>design</t>
  </si>
  <si>
    <t>breakdown-estimate</t>
  </si>
  <si>
    <t>measured: p10-p90 of 2 runs (2 ledger)</t>
  </si>
  <si>
    <t>build</t>
  </si>
  <si>
    <t>measured: p10-p90 of 3 runs (3 eval)</t>
  </si>
  <si>
    <t>verification</t>
  </si>
  <si>
    <t>measured: p10-p90 of 2 runs (2 eval)</t>
  </si>
  <si>
    <t>API credit cost total</t>
  </si>
  <si>
    <t>Confidence</t>
  </si>
  <si>
    <t>cold-start (15 measured records)</t>
  </si>
  <si>
    <t>Per task</t>
  </si>
  <si>
    <t>API min and max ($) on each task sheet: the task's share of build and verification, by its hours. A human task costs nothing; planning, design, breakdown and estimate are spent once per run.</t>
  </si>
  <si>
    <t>How to read the hours</t>
  </si>
  <si>
    <t>Each task's Minimum and Maximum are the hours it takes to deliver. Most of the work is done by AI agents; a person's hours are added only where a person is needed (client acceptance, design sign-off, project liaison, accounts and keys). The API credits beside the hours are what the AI spends to build and verify each task.</t>
  </si>
  <si>
    <t>Executor</t>
  </si>
  <si>
    <t>Factory: the factory's hours only. Joint: the factory with a person's steps (keys, accounts, go-live). Human: a person's hours only (UAT, design sign-off, PM).</t>
  </si>
  <si>
    <t>Factory hours basis</t>
  </si>
  <si>
    <t>cold-start: each task's sized hours, a reference size, until this factory has built enough tasks of its class (3 or more)</t>
  </si>
  <si>
    <t>Hours by executor</t>
  </si>
  <si>
    <t>Factory</t>
  </si>
  <si>
    <t>Joint</t>
  </si>
  <si>
    <t>Human</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</si>
  <si>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</si>
  <si>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</si>
  <si>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</si>
  <si>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</si>
  <si>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</si>
  <si>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</si>
  <si>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</si>
  <si>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</si>
  <si>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</si>
  <si>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</si>
  <si>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</si>
  <si>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</si>
  <si>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</si>
  <si>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</si>
  <si>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</si>
  <si>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</si>
  <si>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</si>
  <si>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</si>
  <si>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</si>
  <si>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</si>
  <si>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</si>
  <si>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</si>
  <si>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</si>
  <si>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</si>
  <si>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</si>
  <si>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</si>
  <si>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</si>
  <si>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</si>
  <si>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</si>
  <si>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</si>
  <si>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</si>
  <si>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EST-1, EST-3, EST-6, EST-13 (agent work over 16 h or very large is split into smaller tasks; the hours stay as estimated).</t>
  </si>
  <si>
    <t>Development Estimates for Parts Quick Order</t>
  </si>
  <si>
    <t>by mhamza</t>
  </si>
  <si>
    <t>Grand Total (in hours)</t>
  </si>
  <si>
    <t>Sum of development, other activities and research efforts.</t>
  </si>
  <si>
    <t>API total ($)</t>
  </si>
  <si>
    <t>S.No</t>
  </si>
  <si>
    <t>Task</t>
  </si>
  <si>
    <t>Requirement id(s)</t>
  </si>
  <si>
    <t>Task id</t>
  </si>
  <si>
    <t>Portal shell, navigation and cross-cutting</t>
  </si>
  <si>
    <t>Environments, CI/CD and hosting for API and portal</t>
  </si>
  <si>
    <t>Environment setup delivers no requirement on its own (Dev, staging and production with one CI/CD pipeline, no infrastructure as code named: typical, same as the approved one [ops-setup backend 8-14 h, external-dependency x1.4, verify hard x1.3, context partial x1.2])</t>
  </si>
  <si>
    <t>EST-1</t>
  </si>
  <si>
    <t>Find parts</t>
  </si>
  <si>
    <t>GET /api/parts: search, filters, paging, stock state</t>
  </si>
  <si>
    <t>Sorted by name A–Z, 20 per page, total count; Fields image (or null), name, partNumber, brand, price in GBP with 2 decimals, stockState, stock (whole number); Stock state: In stock (≥5), Low stock (n left) (1–4), Out of stock (0); Search q of at least 2 characters, case-insensitive, on name or part number; 1 character applies no filter; One category and one brand filter combined with search; All means no filter; Empty result returns 200 with empty list and total 0; p95 under 500 ms with 5,000 parts (Search, 2 filters and paging on one table, with a derived stock state: typical (filters and paging) [be-endpoint backend 3-6 h, rules-or-algorithm x1.3, verify easy x0.9])</t>
  </si>
  <si>
    <t>REQ-2, REQ-3, REQ-4, REQ-5, REQ-38</t>
  </si>
  <si>
    <t>EST-4</t>
  </si>
  <si>
    <t>GET /api/parts/brands</t>
  </si>
  <si>
    <t>Distinct brand list taken from the parts data (One plain distinct read, no filters: small [be-endpoint backend 3-6 h, small x0.6, verify easy x0.9])</t>
  </si>
  <si>
    <t>REQ-5</t>
  </si>
  <si>
    <t>EST-5</t>
  </si>
  <si>
    <t>Placing orders (orders API)</t>
  </si>
  <si>
    <t>Orders data model, migrations and seed data</t>
  </si>
  <si>
    <t>orders table: buyer ID, order number, date placed, delivery address, delivery option (STANDARD/NEXT_DAY), total, status; order_lines table: order, part number (refers to existing parts), quantity, unit price; Status values Placed, Packed, Dispatched, Delivered, Cancelled; Database sequence for ORD- + 6 zero-padded digits (ORD-000001); Indexes on buyer and date placed for 100,000 order records (NFR-2); Parts table stays read-only; Seed of 5,000 parts for the load test (2 new entities (orders, order_lines) plus a sequence and indexes; parts table already exists: small (up to 3 entities) [be-data backend 4-8 h, small x0.6, verify easy x0.9])</t>
  </si>
  <si>
    <t>REQ-20, REQ-28, REQ-30, REQ-38</t>
  </si>
  <si>
    <t>EST-2</t>
  </si>
  <si>
    <t>POST /api/orders: place order rules</t>
  </si>
  <si>
    <t>Validation 400 with error field: no lines, quantity outside 1–99, unknown part number, address outside 5–200 characters, missing or unknown delivery option; Stock re-check: 409 listing each affected part number with available stock, no order saved; Unit price from current part price; client-sent price ignored; Total = subtotal + delivery charge (Standard £0.00, Next day £9.99); Status Placed and sequential order number ORD-000001; 201 response with orderNumber, status and total; Stock quantity in parts database left unchanged (About 11 rules: 5 validation rules, stock re-check 409, server price, total with delivery charge, status and number, response, stock unchanged. 9-15 rules is large [be-rules backend 8-14 h, large x1.6, verify easy x0.9])</t>
  </si>
  <si>
    <t>REQ-20, REQ-21, REQ-22, REQ-25</t>
  </si>
  <si>
    <t>EST-6</t>
  </si>
  <si>
    <t>My orders</t>
  </si>
  <si>
    <t>Buyer identity from existing company login session</t>
  </si>
  <si>
    <t>Validate existing company login session token or cookie on every API request (ASM-5); Read buyer ID from session for order ownership; Expose signed-in buyer ID to the portal for the cart storage key (One sign-in method (the existing company session) and one buyer role: small [be-auth backend 10-16 h, small x0.6, external-dependency x1.4, verify hard x1.3, context partial x1.2])</t>
  </si>
  <si>
    <t>REQ-27, REQ-16</t>
  </si>
  <si>
    <t>EST-3</t>
  </si>
  <si>
    <t>GET /api/orders: buyer's orders list with status filter</t>
  </si>
  <si>
    <t>Only the signed-in buyer's orders; Newest first; Fields order number, datePlaced, itemCount (total of quantities), total, status; status query filter; Empty list with 200 when no orders (Read with an ownership filter, a status filter and ordering: typical (filters) [be-endpoint backend 3-6 h, verify easy x0.9])</t>
  </si>
  <si>
    <t>REQ-27, REQ-28, REQ-29, REQ-35</t>
  </si>
  <si>
    <t>EST-7</t>
  </si>
  <si>
    <t>GET /api/orders/{orderNumber}: order detail</t>
  </si>
  <si>
    <t>Lines with part number, name, quantity, unit price; Delivery address, delivery option, total, status; 404 for another buyer's order (A plain read by id with its lines and an ownership 404: small [be-endpoint backend 3-6 h, small x0.6, verify easy x0.9])</t>
  </si>
  <si>
    <t>REQ-27, REQ-30</t>
  </si>
  <si>
    <t>EST-8</t>
  </si>
  <si>
    <t>POST /api/orders/{orderNumber}/cancel: cancel rules</t>
  </si>
  <si>
    <t>Cancel only if status is still Placed: set Cancelled, return 200 with status Cancelled; 409 with error message when no longer Placed, status unchanged; 404 for another buyer's order, status unchanged; Stock unchanged on cancel (4 rules (cancel only while Placed, 409, ownership 404, stock unchanged): typical (4-8 rules) [be-rules backend 8-14 h, verify easy x0.9])</t>
  </si>
  <si>
    <t>REQ-33, REQ-34, REQ-27, REQ-25</t>
  </si>
  <si>
    <t>EST-9</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</si>
  <si>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</si>
  <si>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</si>
  <si>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</si>
  <si>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</si>
  <si>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</si>
  <si>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</si>
  <si>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</si>
  <si>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</si>
  <si>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</si>
  <si>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</si>
  <si>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EST-4 GET /api/parts: search, filters, paging, stock state: the estimators disagree, so its range is wide</t>
  </si>
  <si>
    <t>EST-6 POST /api/orders: place order rules: the estimators disagree, so its range is wide</t>
  </si>
  <si>
    <t>EST-9 POST /api/orders/{orderNumber}/cancel: cancel rules: the estimators disagree, so its range is wide</t>
  </si>
  <si>
    <t>Not in scope: no work in this estimate</t>
  </si>
  <si>
    <t>Portal app shell (web)</t>
  </si>
  <si>
    <t>Routes /parts, /cart, /orders; Header with links to the other two screens and live cart count; Company login session wiring and buyer ID; Error page; Responsive layout without horizontal scroll from 360 px; Visible focus and keyboard navigation; Prices formatted as £ with 2 decimals, English only (NFR-6) (One layout, 3 menu items, no roles in the menu, English only, light theme: small [ui-shell web 8-14 h, small x0.6])</t>
  </si>
  <si>
    <t>REQ-1, REQ-9, REQ-36, REQ-37</t>
  </si>
  <si>
    <t>EST-10</t>
  </si>
  <si>
    <t>Production release of API and portal</t>
  </si>
  <si>
    <t>Production launch delivers no requirement on its own (One target (API and portal on one host) with a migration checklist: typical [ops-release web 3-6 h, external-dependency x1.4, verify hard x1.3, context partial x1.2])</t>
  </si>
  <si>
    <t>EST-22</t>
  </si>
  <si>
    <t>Find parts screen (web)</t>
  </si>
  <si>
    <t>Search box with "Type at least 2 characters" hint; Category and brand filters with All; Result rows: image, name, part number, brand, price, stock badge with text; Previous/Next paging, back to page 1 on search or filter change; Add to cart, disabled when out of stock; header count bumps with success message; Go to cart (n) link; States: loading skeleton, empty "No parts match" with Clear search and filters, error with Try again, out of stock, low stock, added; First page displayed within 2 seconds with 5,000 parts (Search plus 2 filters (category, brand) and paging, no bulk actions: typical [ui-list web 6-10 h, typical])</t>
  </si>
  <si>
    <t>REQ-1, REQ-2, REQ-3, REQ-4, REQ-5, REQ-6, REQ-7, REQ-8, REQ-9, REQ-10, REQ-36, REQ-37, REQ-38</t>
  </si>
  <si>
    <t>EST-12</t>
  </si>
  <si>
    <t>Cart and checkout</t>
  </si>
  <si>
    <t>CartStore in browser local storage per buyer</t>
  </si>
  <si>
    <t>addPart: add line quantity 1 or +1; out-of-stock part not added; capped at stock with "Only n available"; count(): total of all quantities; lines(): name, partNumber, unitPrice, quantity, lineTotal; setQuantity: blank/0 → 1, above 99 → 99, non-whole → nearest; above stock → stock with "Only n available"; removeLine; subtotal() and totals(STANDARD £0.00 / NEXT_DAY £9.99); Persist lines in local storage under buyer ID; refresh(partsClient): current prices only, remove 0-stock lines with "&lt;part name&gt; is now out of stock", on failure error field and null prices/totals; applyStockLimits from 409: lower lines with "Only n available", remove 0-stock lines with message, keep others (One capability (local storage persistence per buyer) with error handling for refresh and 409: typical, not offline sync [ui-device web 6-10 h, rules-or-algorithm x1.3, verify easy x0.9])</t>
  </si>
  <si>
    <t>REQ-8, REQ-9, REQ-10, REQ-11, REQ-12, REQ-13, REQ-14, REQ-15, REQ-16, REQ-19, REQ-39, REQ-41, REQ-42, REQ-43</t>
  </si>
  <si>
    <t>EST-11</t>
  </si>
  <si>
    <t>Cart lines with live prices (web)</t>
  </si>
  <si>
    <t>Lines table: part, part no., unit price, editable qty, line total, Remove; Instant recalculation of line and order totals; Quantity correction with "Only n available"; Inline alert "&lt;part name&gt; is now out of stock" when a line is removed; Loading state while current prices are fetched; Price error state: lines without prices, error message, Try again, checkout hidden; Empty state "Your cart is empty" with link to Find parts, checkout hidden (One interactive widget (editable lines table) with 3 actions (edit quantity, remove, try again): typical [ui-complex web 14-22 h, complex UI x1.4])</t>
  </si>
  <si>
    <t>REQ-9, REQ-11, REQ-12, REQ-13, REQ-14, REQ-15, REQ-17, REQ-41, REQ-42, REQ-43, REQ-36, REQ-37</t>
  </si>
  <si>
    <t>EST-13</t>
  </si>
  <si>
    <t>Checkout form and place order (web)</t>
  </si>
  <si>
    <t>Delivery address textarea 5–200 characters, empty each time, with labelled error; Delivery option radio Standard £0.00 / Next day £9.99; Order summary: items, subtotal, delivery charge, total; Place order enabled only when valid; disabled while submitting (one request); Success: show order number, empty cart, link to My orders; Network error toast: check My orders before retrying; server error toast: cart and details kept; 409 conflict: apply stock limits to lines with messages (2 form fields (address, delivery option) plus a summary and submit handling: small (up to 5 fields) [ui-form web 6-10 h, small x0.6, complex UI x1.4])</t>
  </si>
  <si>
    <t>REQ-18, REQ-19, REQ-20, REQ-21, REQ-22, REQ-23, REQ-24, REQ-39, REQ-40, REQ-36, REQ-37</t>
  </si>
  <si>
    <t>EST-14</t>
  </si>
  <si>
    <t>My orders list (web)</t>
  </si>
  <si>
    <t>Table: order, date placed, items, total, status (text label), newest first; Status filter chips: All statuses, Placed, Packed, Dispatched, Delivered, Cancelled; View order opens panel on the same page; States: loading skeleton, empty "No orders yet" with link to Find parts, filtered empty, error with Try again (Table with 1 status filter (chips) and its states: typical (1-3 filters) [ui-list web 6-10 h, complex UI x1.4])</t>
  </si>
  <si>
    <t>REQ-1, REQ-28, REQ-29, REQ-35, REQ-36, REQ-37</t>
  </si>
  <si>
    <t>EST-15</t>
  </si>
  <si>
    <t>Order detail drawer, timeline and cancel (web)</t>
  </si>
  <si>
    <t>Drawer overlay: lines, address, delivery option, total, status; Timeline Placed → Packed → Dispatched → Delivered with current status marked by text; Cancel order button only while Placed; Confirm dialog (Yes, cancel order / Keep order); Success toast and status Cancelled; 409 toast: can no longer be cancelled, panel refreshes (Detail drawer with sections (lines, timeline) and 1 action (cancel with confirm): typical [ui-detail web 5-8 h, complex UI x1.4])</t>
  </si>
  <si>
    <t>REQ-1, REQ-30, REQ-31, REQ-32, REQ-33, REQ-34, REQ-37</t>
  </si>
  <si>
    <t>EST-16</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</si>
  <si>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</si>
  <si>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</si>
  <si>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</si>
  <si>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</si>
  <si>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</si>
  <si>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</si>
  <si>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</si>
  <si>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</si>
  <si>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</si>
  <si>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</si>
  <si>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and parts API, including load test</t>
  </si>
  <si>
    <t>API cases AC-2.x to AC-7.x; Load test AC-38.1 (p95 &lt; 500 ms) and AC-38.2 (2 s first page); Manual cases for paging reset, clear button, disabled Add to cart (3 flows (API search/filter, load test, manual UI cases): typical (2-4 flows) [qa-cases qa 3-6 h, typical])</t>
  </si>
  <si>
    <t>REQ-2, REQ-3, REQ-4, REQ-5, REQ-6, REQ-7, REQ-8, REQ-10, REQ-38</t>
  </si>
  <si>
    <t>EST-17</t>
  </si>
  <si>
    <t>Test cases: Cart, checkout and place order</t>
  </si>
  <si>
    <t>CartStore and CheckoutForm unit cases; Orders API cases for 201, 400, 409, stock unchanged; Manual cases for error, conflict, price failure and success states (3 flows (cart store, orders API, checkout UI states): typical [qa-cases qa 3-6 h, typical])</t>
  </si>
  <si>
    <t>REQ-11, REQ-12, REQ-13, REQ-14, REQ-15, REQ-16, REQ-17, REQ-18, REQ-19, REQ-20, REQ-21, REQ-22, REQ-23, REQ-24, REQ-25, REQ-39, REQ-40, REQ-41, REQ-42, REQ-43</t>
  </si>
  <si>
    <t>EST-18</t>
  </si>
  <si>
    <t>Test cases: My orders and cancel</t>
  </si>
  <si>
    <t>Ownership 404 cases; List order, filter, detail cases; Cancel success and 409 cases, confirmation decline (3 flows (ownership, list/filter/detail, cancel): typical [qa-cases qa 3-6 h, typical])</t>
  </si>
  <si>
    <t>REQ-27, REQ-28, REQ-29, REQ-30, REQ-31, REQ-32, REQ-33, REQ-34, REQ-35</t>
  </si>
  <si>
    <t>EST-19</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</si>
  <si>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</si>
  <si>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</si>
  <si>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</si>
  <si>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</si>
  <si>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</si>
  <si>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</si>
  <si>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</si>
  <si>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accessibility, responsive and browsers</t>
  </si>
  <si>
    <t>Automated axe scan per screen, 0 serious or critical (NFR-3); Keyboard-only journey with screen reader labels; 360/768/1280 px widths on latest 2 Chrome, Edge, Safari, Firefox (3 flows (axe scan, keyboard journey, widths across browsers): typical [qa-cases qa 3-6 h, verify hard x1.3])</t>
  </si>
  <si>
    <t>REQ-1, REQ-36, REQ-37</t>
  </si>
  <si>
    <t>EST-20</t>
  </si>
  <si>
    <t>UAT</t>
  </si>
  <si>
    <t>Client user acceptance testing support</t>
  </si>
  <si>
    <t>Client acceptance testing</t>
  </si>
  <si>
    <t>Client UAT delivers no requirement on its own (One acceptance round: typical [qa-uat qa 4-8 h, typical])</t>
  </si>
  <si>
    <t>EST-24</t>
  </si>
  <si>
    <t>Misc. Optional testing</t>
  </si>
  <si>
    <t>Other testing named in the breakdown, and supervisor gate time. Not sized in this estimate</t>
  </si>
  <si>
    <t>Total QA Efforts</t>
  </si>
  <si>
    <t>Total hours of QA</t>
  </si>
  <si>
    <t>Validation Testing</t>
  </si>
  <si>
    <t>End-to-end test: find, add, check out, view and cancel</t>
  </si>
  <si>
    <t>Search, add to cart, header count, place order, order number, open in My orders, cancel (One end-to-end journey with its error paths: typical [qa-e2e qa 6-10 h, typical])</t>
  </si>
  <si>
    <t>REQ-1, REQ-4, REQ-8, REQ-9, REQ-18, REQ-20, REQ-23, REQ-28, REQ-30, REQ-32, REQ-33</t>
  </si>
  <si>
    <t>EST-21</t>
  </si>
  <si>
    <t>Total Testing Cycle 1</t>
  </si>
  <si>
    <t>Sum of testing cycle 1</t>
  </si>
  <si>
    <t>Design Estimates for Parts Quick Order</t>
  </si>
  <si>
    <t>Client design review and approval</t>
  </si>
  <si>
    <t>Client walkthrough and sign-off of the approved design (Walkthrough of 3 screens with two feedback rounds (settings feedbackRounds 2): typical [design-approval design 2-4 h, typical])</t>
  </si>
  <si>
    <t>EST-23</t>
  </si>
  <si>
    <t>Other Estimates for Parts Quick Order</t>
  </si>
  <si>
    <t>GD</t>
  </si>
  <si>
    <t>GD TOTAL</t>
  </si>
  <si>
    <t>PM</t>
  </si>
  <si>
    <t>Project management: client liaison</t>
  </si>
  <si>
    <t>Client calls, scope decisions and sign-offs (About 26 tasks, mostly small or typical: roughly a month of delivery, typical [pm-management pm 4-8 h, typical])</t>
  </si>
  <si>
    <t>EST-25</t>
  </si>
  <si>
    <t>PM TOTAL</t>
  </si>
  <si>
    <t>PDM</t>
  </si>
  <si>
    <t>Handover notes</t>
  </si>
  <si>
    <t>Documentation delivers no requirement on its own (Short handover notes on 2 topics (status updates, deployment): small [pdm-docs pdm 4-8 h, small x0.6, context partial x1.2])</t>
  </si>
  <si>
    <t>EST-26</t>
  </si>
  <si>
    <t>PDM TOTAL</t>
  </si>
  <si>
    <t>Cross-cutting</t>
  </si>
  <si>
    <t>Cross-cutting TOTAL</t>
  </si>
  <si>
    <t>All tasks: Parts Quick Order</t>
  </si>
  <si>
    <t>Filter or sort any column. The Total row adds up only the rows the filter shows.</t>
  </si>
  <si>
    <t>Track</t>
  </si>
  <si>
    <t>Module</t>
  </si>
  <si>
    <t>Backend</t>
  </si>
  <si>
    <t>Web</t>
  </si>
  <si>
    <t>QA</t>
  </si>
  <si>
    <t>Design</t>
  </si>
  <si>
    <t>Total (rows shown)</t>
  </si>
  <si>
    <t>agentic</t>
  </si>
  <si>
    <t>Uncertainty</t>
  </si>
  <si>
    <t>medium</t>
  </si>
  <si>
    <t>Cost confidence</t>
  </si>
  <si>
    <t>cold-start</t>
  </si>
  <si>
    <t>Benchmark records</t>
  </si>
  <si>
    <t>Flagged tasks (estimators disagree)</t>
  </si>
  <si>
    <t>Spec sha</t>
  </si>
  <si>
    <t>78b80754217423dd7f9683d91dfad757f88541fda28cac9620b2e3c8747d658c</t>
  </si>
  <si>
    <t>Breakdown sha</t>
  </si>
  <si>
    <t>ebc16f1c96188ba8cfc2d935c9e65f8966e3388d1a20181dcbaa2e634b505e9b</t>
  </si>
  <si>
    <t>Task catalogue</t>
  </si>
  <si>
    <t>2026-10-06.1 (stack dotnet)</t>
  </si>
  <si>
    <t>Catalogue status</t>
  </si>
  <si>
    <t>reference hours, not yet measured</t>
  </si>
  <si>
    <t>API cost by phase</t>
  </si>
  <si>
    <t>Ledger runs</t>
  </si>
  <si>
    <t>Eval runs</t>
  </si>
  <si>
    <t>planning ($0.74-2.86)</t>
  </si>
  <si>
    <t>design ($0.06-7.98)</t>
  </si>
  <si>
    <t>breakdown-estimate ($0.82-0.97)</t>
  </si>
  <si>
    <t>build ($15.44-53)</t>
  </si>
  <si>
    <t>verification ($1.59-4.32)</t>
  </si>
  <si>
    <t>Anchors</t>
  </si>
  <si>
    <t>Title</t>
  </si>
  <si>
    <t>Min (h)</t>
  </si>
  <si>
    <t>Max (h)</t>
  </si>
  <si>
    <t>Why a fair reference</t>
  </si>
  <si>
    <t>Dev, staging and production with one CI/CD pipeline, no infrastructure as code named: typical, same as the approved one [ops-setup backend 8-14 h, external-dependency x1.4, verify hard x1.3, context partial x1.2]</t>
  </si>
  <si>
    <t>2 new entities (orders, order_lines) plus a sequence and indexes; parts table already exists: small (up to 3 entities) [be-data backend 4-8 h, small x0.6, verify easy x0.9]</t>
  </si>
  <si>
    <t>One sign-in method (the existing company session) and one buyer role: small [be-auth backend 10-16 h, small x0.6, external-dependency x1.4, verify hard x1.3, context partial x1.2]</t>
  </si>
  <si>
    <t>Search, 2 filters and paging on one table, with a derived stock state: typical (filters and paging) [be-endpoint backend 3-6 h, rules-or-algorithm x1.3, verify easy x0.9]</t>
  </si>
  <si>
    <t>About 11 rules: 5 validation rules, stock re-check 409, server price, total with delivery charge, status and number, response, stock unchanged. 9-15 rules is large [be-rules backend 8-14 h, large x1.6, verify easy x0.9]</t>
  </si>
  <si>
    <t>One layout, 3 menu items, no roles in the menu, English only, light theme: small [ui-shell web 8-14 h, small x0.6]</t>
  </si>
  <si>
    <t>One capability (local storage persistence per buyer) with error handling for refresh and 409: typical, not offline sync [ui-device web 6-10 h, rules-or-algorithm x1.3, verify easy x0.9]</t>
  </si>
  <si>
    <t>Search plus 2 filters (category, brand) and paging, no bulk actions: typical [ui-list web 6-10 h, typical]</t>
  </si>
  <si>
    <t>One interactive widget (editable lines table) with 3 actions (edit quantity, remove, try again): typical [ui-complex web 14-22 h, complex UI x1.4]</t>
  </si>
  <si>
    <t>2 form fields (address, delivery option) plus a summary and submit handling: small (up to 5 fields) [ui-form web 6-10 h, small x0.6, complex UI x1.4]</t>
  </si>
  <si>
    <t>Detail drawer with sections (lines, timeline) and 1 action (cancel with confirm): typical [ui-detail web 5-8 h, complex UI x1.4]</t>
  </si>
  <si>
    <t>3 flows (API search/filter, load test, manual UI cases): typical (2-4 flows) [qa-cases qa 3-6 h, typical]</t>
  </si>
  <si>
    <t>One end-to-end journey with its error paths: typical [qa-e2e qa 6-10 h, typical]</t>
  </si>
  <si>
    <t>One target (API and portal on one host) with a migration checklist: typical [ops-release web 3-6 h, external-dependency x1.4, verify hard x1.3, context partial x1.2]</t>
  </si>
  <si>
    <t>Walkthrough of 3 screens with two feedback rounds (settings feedbackRounds 2): typical [design-approval design 2-4 h, typical]</t>
  </si>
  <si>
    <t>One acceptance round: typical [qa-uat qa 4-8 h, typical]</t>
  </si>
  <si>
    <t>About 26 tasks, mostly small or typical: roughly a month of delivery, typical [pm-management pm 4-8 h, typical]</t>
  </si>
  <si>
    <t>Short handover notes on 2 topics (status updates, deployment): small [pdm-docs pdm 4-8 h, small x0.6, context partial x1.2]</t>
  </si>
  <si>
    <t>Anchor</t>
  </si>
  <si>
    <t>Ratio</t>
  </si>
  <si>
    <t>Reason</t>
  </si>
  <si>
    <t>Flagged</t>
  </si>
  <si>
    <t>joint</t>
  </si>
  <si>
    <t>factory</t>
  </si>
  <si>
    <t>yes</t>
  </si>
  <si>
    <t>One plain distinct read, no filters: small [be-endpoint backend 3-6 h, small x0.6, verify easy x0.9]</t>
  </si>
  <si>
    <t>Read with an ownership filter, a status filter and ordering: typical (filters) [be-endpoint backend 3-6 h, verify easy x0.9]</t>
  </si>
  <si>
    <t>A plain read by id with its lines and an ownership 404: small [be-endpoint backend 3-6 h, small x0.6, verify easy x0.9]</t>
  </si>
  <si>
    <t>4 rules (cancel only while Placed, 409, ownership 404, stock unchanged): typical (4-8 rules) [be-rules backend 8-14 h, verify easy x0.9]</t>
  </si>
  <si>
    <t>Table with 1 status filter (chips) and its states: typical (1-3 filters) [ui-list web 6-10 h, complex UI x1.4]</t>
  </si>
  <si>
    <t>3 flows (cart store, orders API, checkout UI states): typical [qa-cases qa 3-6 h, typical]</t>
  </si>
  <si>
    <t>3 flows (ownership, list/filter/detail, cancel): typical [qa-cases qa 3-6 h, typical]</t>
  </si>
  <si>
    <t>3 flows (axe scan, keyboard journey, widths across browsers): typical [qa-cases qa 3-6 h, verify hard x1.3]</t>
  </si>
  <si>
    <t>human</t>
  </si>
  <si>
    <t>Requirements and traceability</t>
  </si>
  <si>
    <t>Requirement</t>
  </si>
  <si>
    <t>REQ-1</t>
  </si>
  <si>
    <t>The portal shall provide exactly three screens for the signed-in buyer: Find parts at /parts, Cart and checkout at /cart, and My orders a...</t>
  </si>
  <si>
    <t>EST-10, EST-12, EST-15, EST-16, EST-20, EST-21</t>
  </si>
  <si>
    <t>REQ-10</t>
  </si>
  <si>
    <t>If a part is out of stock, then the portal shall disable its "Add to cart" button.</t>
  </si>
  <si>
    <t>EST-11, EST-12, EST-17</t>
  </si>
  <si>
    <t>REQ-11</t>
  </si>
  <si>
    <t>The cart shall give each line its name, part number, unit price, quantity and line total, where line total = unit price × quantity.</t>
  </si>
  <si>
    <t>EST-11, EST-13, EST-18</t>
  </si>
  <si>
    <t>REQ-12</t>
  </si>
  <si>
    <t>When the buyer changes a line quantity, the cart shall recalculate that line total and the order totals at once.</t>
  </si>
  <si>
    <t>REQ-13</t>
  </si>
  <si>
    <t>If the buyer enters a quantity that is blank, 0, above 99 or not a whole number, then the cart shall set it to the nearest whole number f...</t>
  </si>
  <si>
    <t>REQ-14</t>
  </si>
  <si>
    <t>If the buyer enters a quantity above the part's stock, then the cart shall set the quantity to the stock quantity and give the message "O...</t>
  </si>
  <si>
    <t>REQ-15</t>
  </si>
  <si>
    <t>When the buyer presses "Remove" on a cart line, the cart shall remove that line.</t>
  </si>
  <si>
    <t>REQ-16</t>
  </si>
  <si>
    <t>The cart shall keep its lines in the browser's local storage under the signed-in buyer's ID, so the cart survives page reloads on the sam...</t>
  </si>
  <si>
    <t>EST-3, EST-11, EST-18</t>
  </si>
  <si>
    <t>REQ-17</t>
  </si>
  <si>
    <t>While the cart is empty, the portal shall show "Your cart is empty" with a link to Find parts and hide checkout.</t>
  </si>
  <si>
    <t>EST-13, EST-18</t>
  </si>
  <si>
    <t>REQ-18</t>
  </si>
  <si>
    <t>The checkout shall enable "Place order" only when the delivery address has 5 to 200 characters and a delivery option (Standard or Next da...</t>
  </si>
  <si>
    <t>EST-14, EST-18, EST-21</t>
  </si>
  <si>
    <t>REQ-19</t>
  </si>
  <si>
    <t>The checkout shall show subtotal, delivery charge (Standard £0.00, Next day £9.99) and total, where total = subtotal + delivery charge.</t>
  </si>
  <si>
    <t>EST-11, EST-14, EST-18</t>
  </si>
  <si>
    <t>REQ-2</t>
  </si>
  <si>
    <t>When a buyer requests the parts list, the parts API shall return parts sorted by name A–Z, 20 per page, each with image (or none), name, ...</t>
  </si>
  <si>
    <t>EST-4, EST-12, EST-17</t>
  </si>
  <si>
    <t>REQ-20</t>
  </si>
  <si>
    <t>When the buyer places an order with valid lines, address and delivery option, the orders API shall save an order with status Placed, a se...</t>
  </si>
  <si>
    <t>EST-2, EST-6, EST-14, EST-18, EST-21</t>
  </si>
  <si>
    <t>REQ-21</t>
  </si>
  <si>
    <t>If a place-order request has no lines, a quantity outside 1–99, an unknown part number, an address outside 5–200 characters, or a missing...</t>
  </si>
  <si>
    <t>EST-6, EST-14, EST-18</t>
  </si>
  <si>
    <t>REQ-22</t>
  </si>
  <si>
    <t>If any line's quantity is above the part's stock when an order is placed, then the orders API shall reject the order with status 409 and ...</t>
  </si>
  <si>
    <t>REQ-23</t>
  </si>
  <si>
    <t>When an order is placed successfully, the portal shall empty the cart and show the new order number.</t>
  </si>
  <si>
    <t>REQ-24</t>
  </si>
  <si>
    <t>If placing an order fails with a network error or a server error, then the portal shall show an error message, which for a network error ...</t>
  </si>
  <si>
    <t>EST-14, EST-18</t>
  </si>
  <si>
    <t>REQ-25</t>
  </si>
  <si>
    <t>The orders API shall leave the stock quantity in the parts database unchanged when an order is placed or cancelled.</t>
  </si>
  <si>
    <t>EST-6, EST-9, EST-18</t>
  </si>
  <si>
    <t>REQ-27</t>
  </si>
  <si>
    <t>The orders API shall return to a buyer only the orders placed by that buyer.</t>
  </si>
  <si>
    <t>EST-3, EST-7, EST-8, EST-9, EST-19</t>
  </si>
  <si>
    <t>REQ-28</t>
  </si>
  <si>
    <t>When a buyer requests their orders, the orders API shall return them newest first, each with order number, date placed, number of items (...</t>
  </si>
  <si>
    <t>EST-2, EST-7, EST-15, EST-19, EST-21</t>
  </si>
  <si>
    <t>REQ-29</t>
  </si>
  <si>
    <t>When the buyer picks a status filter on My orders, the orders API shall return only that buyer's orders with that status.</t>
  </si>
  <si>
    <t>EST-7, EST-15, EST-19</t>
  </si>
  <si>
    <t>REQ-3</t>
  </si>
  <si>
    <t>The parts API shall set a part's stock state to "In stock" when stock is 5 or more, "Low stock (n left)" when stock is 1 to 4, and "Out o...</t>
  </si>
  <si>
    <t>REQ-30</t>
  </si>
  <si>
    <t>When a buyer opens one of their orders, the orders API shall return its lines (part number, name, quantity, unit price), delivery address...</t>
  </si>
  <si>
    <t>EST-2, EST-8, EST-16, EST-19, EST-21</t>
  </si>
  <si>
    <t>REQ-31</t>
  </si>
  <si>
    <t>When the buyer opens an order, the portal shall show a status timeline Placed → Packed → Dispatched → Delivered with the current status m...</t>
  </si>
  <si>
    <t>EST-16, EST-19</t>
  </si>
  <si>
    <t>REQ-32</t>
  </si>
  <si>
    <t>While an order's status is Placed, the portal shall show a "Cancel order" button in the order detail that asks for confirmation before ca...</t>
  </si>
  <si>
    <t>EST-16, EST-19, EST-21</t>
  </si>
  <si>
    <t>REQ-33</t>
  </si>
  <si>
    <t>When a buyer cancels their order whose status is still Placed, the orders API shall set the status to Cancelled.</t>
  </si>
  <si>
    <t>EST-9, EST-16, EST-19, EST-21</t>
  </si>
  <si>
    <t>REQ-34</t>
  </si>
  <si>
    <t>If the order's status is no longer Placed when the buyer confirms cancelling, then the orders API shall refuse with status 409 and leave ...</t>
  </si>
  <si>
    <t>EST-9, EST-16, EST-19</t>
  </si>
  <si>
    <t>REQ-35</t>
  </si>
  <si>
    <t>While the buyer has no orders, the portal shall show "No orders yet" and a link to Find parts on My orders.</t>
  </si>
  <si>
    <t>REQ-36</t>
  </si>
  <si>
    <t>The portal shall show all three screens without horizontal scrolling at viewport widths from 360 px upwards.</t>
  </si>
  <si>
    <t>EST-10, EST-12, EST-13, EST-14, EST-15, EST-20</t>
  </si>
  <si>
    <t>REQ-37</t>
  </si>
  <si>
    <t>The portal shall give every form field a visible text label and let the buyer reach and use every control by keyboard alone.</t>
  </si>
  <si>
    <t>EST-10, EST-12, EST-13, EST-14, EST-15, EST-16, EST-20</t>
  </si>
  <si>
    <t>REQ-38</t>
  </si>
  <si>
    <t>While the parts database holds 5,000 parts, the Find parts screen shall load its first page of results in under 2 seconds.</t>
  </si>
  <si>
    <t>EST-2, EST-4, EST-12, EST-17</t>
  </si>
  <si>
    <t>REQ-39</t>
  </si>
  <si>
    <t>When the orders API rejects an order with a 409 stock conflict, the cart shall lower each affected line to the stock now available with t...</t>
  </si>
  <si>
    <t>REQ-4</t>
  </si>
  <si>
    <t>When the search text has at least 2 characters, the parts API shall return only parts whose name or part number contains that text, ignor...</t>
  </si>
  <si>
    <t>EST-4, EST-12, EST-17, EST-21</t>
  </si>
  <si>
    <t>REQ-40</t>
  </si>
  <si>
    <t>While a place-order request is in progress, the checkout shall disable "Place order".</t>
  </si>
  <si>
    <t>REQ-41</t>
  </si>
  <si>
    <t>When the buyer opens the cart, the cart shall fetch the current price of each line's part from the parts API and use only those current p...</t>
  </si>
  <si>
    <t>REQ-42</t>
  </si>
  <si>
    <t>If the current part data fetched when the cart opens shows a cart line's part has 0 stock, then the cart shall remove that line and give ...</t>
  </si>
  <si>
    <t>REQ-43</t>
  </si>
  <si>
    <t>If the request to the parts API for current prices fails with a network or server error when the cart opens, then the cart shall show the...</t>
  </si>
  <si>
    <t>When the buyer picks a category or brand filter, the parts API shall return only parts matching that one category and that one brand, com...</t>
  </si>
  <si>
    <t>EST-4, EST-5, EST-12, EST-17</t>
  </si>
  <si>
    <t>REQ-6</t>
  </si>
  <si>
    <t>When the search text or a filter changes on Find parts, the portal shall show page 1 of the results.</t>
  </si>
  <si>
    <t>EST-12, EST-17</t>
  </si>
  <si>
    <t>REQ-7</t>
  </si>
  <si>
    <t>When no part matches the search and filters, the portal shall show "No parts match" and a button that clears the search and filters.</t>
  </si>
  <si>
    <t>REQ-8</t>
  </si>
  <si>
    <t>When the buyer presses "Add to cart" on a part that is in stock, the cart shall add a line with quantity 1, or raise the existing line's ...</t>
  </si>
  <si>
    <t>EST-11, EST-12, EST-17, EST-21</t>
  </si>
  <si>
    <t>REQ-9</t>
  </si>
  <si>
    <t>The portal shall show in the header a cart count equal to the total of all quantities in the cart, updated whenever the cart changes.</t>
  </si>
  <si>
    <t>EST-10, EST-11, EST-12, EST-13, EST-21</t>
  </si>
  <si>
    <t>Tasks with no requirement (named overheads)</t>
  </si>
  <si>
    <t>Environment setup delivers no requirement on its own</t>
  </si>
  <si>
    <t>Production launch delivers no requirement on its own</t>
  </si>
  <si>
    <t>Client walkthrough and sign-off of the approved design</t>
  </si>
  <si>
    <t>Client UAT delivers no requirement on its own</t>
  </si>
  <si>
    <t>Client calls, scope decisions and sign-offs</t>
  </si>
  <si>
    <t>Documentation delivers no requirement on its own</t>
  </si>
  <si>
    <t>Assumed parameters and gate time (all editable, all assumed)</t>
  </si>
  <si>
    <t>Parameter</t>
  </si>
  <si>
    <t>Min</t>
  </si>
  <si>
    <t>Max</t>
  </si>
  <si>
    <t>Clarify minutes per question</t>
  </si>
  <si>
    <t>Approval minutes per section</t>
  </si>
  <si>
    <t>PR review minutes, low risk</t>
  </si>
  <si>
    <t>PR review minutes, medium risk</t>
  </si>
  <si>
    <t>PR review minutes, high risk</t>
  </si>
  <si>
    <t>Parked-run rate</t>
  </si>
  <si>
    <t>Parked-run intervention minutes</t>
  </si>
  <si>
    <t>Waiver minutes</t>
  </si>
  <si>
    <t>Cold-start dollars per task</t>
  </si>
  <si>
    <t>Estimator tolerance</t>
  </si>
  <si>
    <t>Tasks per PR</t>
  </si>
  <si>
    <t>Hours per day</t>
  </si>
  <si>
    <t>Agentic build factor</t>
  </si>
  <si>
    <t>Gate hours in this estimate</t>
  </si>
  <si>
    <t>None: the solely agentic model has no supervisor gates</t>
  </si>
  <si>
    <t>No rates were given, so there is no cost overlay.</t>
  </si>
  <si>
    <t>Estimate gates and waivers</t>
  </si>
  <si>
    <t>Gate</t>
  </si>
  <si>
    <t>Result</t>
  </si>
  <si>
    <t>Details</t>
  </si>
  <si>
    <t>estimate.e1-readiness</t>
  </si>
  <si>
    <t>passed</t>
  </si>
  <si>
    <t>42 requirements, lint, critic and round trip clean (8 problems settled by questions), no open questions</t>
  </si>
  <si>
    <t>estimate.e2-req-to-task</t>
  </si>
  <si>
    <t>all 42 requirements have a task</t>
  </si>
  <si>
    <t>estimate.e3-task-to-req</t>
  </si>
  <si>
    <t>every task cites a requirement or a named overhead</t>
  </si>
  <si>
    <t>estimate.e2c-task-kind</t>
  </si>
  <si>
    <t>every task has a catalogue kind that fits its track (catalogue 2026-10-06.1)</t>
  </si>
  <si>
    <t>estimate.e4-checklist</t>
  </si>
  <si>
    <t>14 checklist items each in, or out with a reason</t>
  </si>
  <si>
    <t>estimate.e1c-design-coverage</t>
  </si>
  <si>
    <t>all 3 approved screens are built by a task, and every task screen is approved</t>
  </si>
  <si>
    <t>estimate.e5-consistency</t>
  </si>
  <si>
    <t>similar tasks are within tolerance</t>
  </si>
  <si>
    <t>estimate.e6-lint</t>
  </si>
  <si>
    <t>totals, ratios and costs recompute cleanly</t>
  </si>
  <si>
    <t>estimate.e7-approval</t>
  </si>
  <si>
    <t>approved by Hamza (via web)</t>
  </si>
  <si>
    <t>Waivers</t>
  </si>
  <si>
    <t>Gates</t>
  </si>
  <si>
    <t>Step</t>
  </si>
  <si>
    <t>Waived by and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</si>
</sst>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quot;–&quot;"/>
    <numFmt numFmtId="165" formatCode="mm/dd/yyyy"/>
  </numFmts>
  <fonts count="18"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b/>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
      <b/>
      <sz val="14"/>
    </font>
  </fonts>
  <fills count="5">
    <fill>
      <patternFill patternType="none"/>
    </fill>
    <fill>
      <patternFill patternType="gray125"/>
    </fill>
    <fill>
      <patternFill patternType="solid">
        <fgColor rgb="FF7F7F7F"/>
        <bgColor rgb="FF7F7F7F"/>
      </patternFill>
    </fill>
    <fill>
      <patternFill patternType="solid">
        <fgColor rgb="FFF2F2F2"/>
        <bgColor rgb="FFF2F2F2"/>
      </patternFill>
    </fill>
    <fill>
      <patternFill patternType="solid">
        <fgColor rgb="FFD9E1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164" fontId="4" fillId="0" borderId="2" xfId="0" applyNumberFormat="1" applyFont="1" applyBorder="1"/>
    <xf numFmtId="0" fontId="8" fillId="0" borderId="2" xfId="0" applyFont="1" applyBorder="1"/>
    <xf numFmtId="164" fontId="8" fillId="0" borderId="0" xfId="0" applyNumberFormat="1" applyFont="1"/>
    <xf numFmtId="164" fontId="8" fillId="0" borderId="0" xfId="0" applyNumberFormat="1" applyFont="1" applyAlignment="1">
      <alignment readingOrder="1"/>
    </xf>
    <xf numFmtId="164" fontId="8" fillId="0" borderId="2" xfId="0" applyNumberFormat="1" applyFont="1" applyBorder="1"/>
    <xf numFmtId="0" fontId="9" fillId="0" borderId="2" xfId="0" applyFont="1" applyBorder="1" applyAlignment="1">
      <alignment horizontal="left"/>
    </xf>
    <xf numFmtId="164" fontId="0" fillId="0" borderId="0" xfId="0" applyNumberFormat="1"/>
    <xf numFmtId="164" fontId="10" fillId="0" borderId="0" xfId="0" applyNumberFormat="1" applyFont="1"/>
    <xf numFmtId="0" fontId="11" fillId="2" borderId="0" xfId="0" applyFont="1" applyFill="1" applyAlignment="1">
      <alignment horizontal="center" vertical="center"/>
    </xf>
    <xf numFmtId="165" fontId="12" fillId="0" borderId="0" xfId="0" applyNumberFormat="1" applyFont="1" applyAlignment="1">
      <alignment horizontal="center" vertical="center" readingOrder="1"/>
    </xf>
    <xf numFmtId="0" fontId="12" fillId="0" borderId="0" xfId="0" applyFont="1" applyAlignment="1">
      <alignment horizontal="center" vertical="center" readingOrder="1"/>
    </xf>
    <xf numFmtId="0" fontId="13" fillId="0" borderId="0" xfId="0" applyFont="1" applyAlignment="1">
      <alignment horizontal="right" vertical="center"/>
    </xf>
    <xf numFmtId="164" fontId="13"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4" fillId="2" borderId="2" xfId="0" applyFont="1" applyFill="1" applyBorder="1" applyAlignment="1">
      <alignment horizontal="center" vertical="center"/>
    </xf>
    <xf numFmtId="0" fontId="6" fillId="2" borderId="2" xfId="0" applyFont="1" applyFill="1" applyBorder="1" applyAlignment="1">
      <alignment vertical="center" wrapText="1"/>
    </xf>
    <xf numFmtId="0" fontId="15" fillId="3" borderId="2" xfId="0" applyFont="1" applyFill="1" applyBorder="1" applyAlignment="1">
      <alignment horizontal="right"/>
    </xf>
    <xf numFmtId="0" fontId="15" fillId="3" borderId="2" xfId="0" applyFont="1" applyFill="1" applyBorder="1" applyAlignment="1">
      <alignment readingOrder="1"/>
    </xf>
    <xf numFmtId="164" fontId="15"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164" fontId="4" fillId="0" borderId="2" xfId="0" applyNumberFormat="1" applyFont="1" applyBorder="1" applyAlignment="1">
      <alignment horizontal="right" readingOrder="1"/>
    </xf>
    <xf numFmtId="0" fontId="15" fillId="3" borderId="2" xfId="0" applyFont="1" applyFill="1" applyBorder="1" applyAlignment="1">
      <alignment horizontal="right" vertical="center"/>
    </xf>
    <xf numFmtId="164" fontId="15" fillId="3" borderId="2" xfId="0" applyNumberFormat="1" applyFont="1" applyFill="1" applyBorder="1" applyAlignment="1">
      <alignment vertical="center"/>
    </xf>
    <xf numFmtId="0" fontId="15" fillId="3" borderId="2" xfId="0" applyFont="1" applyFill="1" applyBorder="1" applyAlignment="1">
      <alignment vertical="center"/>
    </xf>
    <xf numFmtId="0" fontId="16" fillId="0" borderId="0" xfId="0" applyFont="1"/>
    <xf numFmtId="0" fontId="17" fillId="0" borderId="0" xfId="0" applyFont="1"/>
    <xf numFmtId="0" fontId="10" fillId="4" borderId="0" xfId="0" applyFont="1" applyFill="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07"/>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7" width="14"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7" x14ac:dyDescent="0.25">
      <c r="C9" s="5" t="s">
        <v>11</v>
      </c>
      <c r="D9" s="5"/>
      <c r="F9" s="5" t="s">
        <v>12</v>
      </c>
      <c r="G9" s="5"/>
    </row>
    <row r="10" spans="2:10" x14ac:dyDescent="0.25">
      <c r="B10" s="6" t="s">
        <v>13</v>
      </c>
      <c r="C10" s="7" t="s">
        <v>14</v>
      </c>
      <c r="D10" s="7" t="s">
        <v>15</v>
      </c>
      <c r="E10" s="7" t="s">
        <v>16</v>
      </c>
      <c r="F10" s="7" t="s">
        <v>17</v>
      </c>
      <c r="G10" s="7" t="s">
        <v>18</v>
      </c>
      <c r="H10" s="8" t="s">
        <v>19</v>
      </c>
      <c r="I10" s="8" t="s">
        <v>20</v>
      </c>
      <c r="J10" s="8" t="s">
        <v>21</v>
      </c>
    </row>
    <row r="11" spans="2:10" x14ac:dyDescent="0.25">
      <c r="B11" s="9" t="s">
        <v>22</v>
      </c>
      <c r="C11" s="10">
        <f>'Dev Backend Estimates'!D6</f>
        <v>62.58</v>
      </c>
      <c r="D11" s="10">
        <f>'Dev Backend Estimates'!E6</f>
        <v>110.56</v>
      </c>
      <c r="E11" s="11" t="s">
        <v>23</v>
      </c>
      <c r="F11" s="10">
        <f>'Dev Backend Estimates'!J6</f>
        <v>7.22</v>
      </c>
      <c r="G11" s="10">
        <f>'Dev Backend Estimates'!K6</f>
        <v>24.29</v>
      </c>
      <c r="H11" s="12">
        <f>ROUND((C11+D11)/2,2)</f>
        <v>86.57</v>
      </c>
      <c r="I11" s="13">
        <v>1</v>
      </c>
      <c r="J11" s="12">
        <f>ROUND(H11/($C$48*I11),2)</f>
        <v>2.16</v>
      </c>
    </row>
    <row r="12" spans="2:10" x14ac:dyDescent="0.25">
      <c r="B12" s="9" t="s">
        <v>24</v>
      </c>
      <c r="C12" s="10">
        <f>'Dev Mobile Estimates'!D6</f>
        <v>0</v>
      </c>
      <c r="D12" s="10">
        <f>'Dev Mobile Estimates'!E6</f>
        <v>0</v>
      </c>
      <c r="E12" s="11" t="s">
        <v>25</v>
      </c>
      <c r="F12" s="10">
        <f>'Dev Mobile Estimates'!J6</f>
        <v>0</v>
      </c>
      <c r="G12" s="10">
        <f>'Dev Mobile Estimates'!K6</f>
        <v>0</v>
      </c>
      <c r="H12" s="12">
        <f>ROUND((C12+D12)/2,2)</f>
        <v>0</v>
      </c>
      <c r="I12" s="13">
        <v>1</v>
      </c>
      <c r="J12" s="12">
        <f>ROUND(H12/($C$48*I12),2)</f>
        <v>0</v>
      </c>
    </row>
    <row r="13" spans="2:10" x14ac:dyDescent="0.25">
      <c r="B13" s="9" t="s">
        <v>26</v>
      </c>
      <c r="C13" s="10">
        <f>'Dev Web Estimates'!D6</f>
        <v>64.41</v>
      </c>
      <c r="D13" s="10">
        <f>'Dev Web Estimates'!E6</f>
        <v>107.6</v>
      </c>
      <c r="E13" s="11" t="s">
        <v>27</v>
      </c>
      <c r="F13" s="10">
        <f>'Dev Web Estimates'!J6</f>
        <v>7.17</v>
      </c>
      <c r="G13" s="10">
        <f>'Dev Web Estimates'!K6</f>
        <v>24.15</v>
      </c>
      <c r="H13" s="12">
        <f>ROUND((C13+D13)/2,2)</f>
        <v>86.01</v>
      </c>
      <c r="I13" s="13">
        <v>1</v>
      </c>
      <c r="J13" s="12">
        <f>ROUND(H13/($C$48*I13),2)</f>
        <v>2.15</v>
      </c>
    </row>
    <row r="14" spans="2:10" x14ac:dyDescent="0.25">
      <c r="B14" s="9" t="s">
        <v>28</v>
      </c>
      <c r="C14" s="10">
        <f>'QA Estimates'!D6</f>
        <v>22.9</v>
      </c>
      <c r="D14" s="10">
        <f>'QA Estimates'!E6</f>
        <v>43.8</v>
      </c>
      <c r="E14" s="11" t="s">
        <v>29</v>
      </c>
      <c r="F14" s="10">
        <f>'QA Estimates'!J6</f>
        <v>2.28</v>
      </c>
      <c r="G14" s="10">
        <f>'QA Estimates'!K6</f>
        <v>7.67</v>
      </c>
      <c r="H14" s="12">
        <f>ROUND((C14+D14)/2,2)</f>
        <v>33.35</v>
      </c>
      <c r="I14" s="13">
        <v>1</v>
      </c>
      <c r="J14" s="12">
        <f>ROUND(H14/($C$48*I14),2)</f>
        <v>0.83</v>
      </c>
    </row>
    <row r="15" spans="2:10" x14ac:dyDescent="0.25">
      <c r="B15" s="9" t="s">
        <v>30</v>
      </c>
      <c r="C15" s="10">
        <f>'Other Estimates'!D10</f>
        <v>0</v>
      </c>
      <c r="D15" s="10">
        <f>'Other Estimates'!E10</f>
        <v>0</v>
      </c>
      <c r="E15" s="11" t="s">
        <v>31</v>
      </c>
      <c r="F15" s="10">
        <f>'Other Estimates'!J10</f>
        <v>0</v>
      </c>
      <c r="G15" s="10">
        <f>'Other Estimates'!K10</f>
        <v>0</v>
      </c>
      <c r="H15" s="12">
        <f>ROUND((C15+D15)/2,2)</f>
        <v>0</v>
      </c>
      <c r="I15" s="13">
        <v>1</v>
      </c>
      <c r="J15" s="12">
        <f>ROUND(H15/($C$48*I15),2)</f>
        <v>0</v>
      </c>
    </row>
    <row r="16" spans="2:10" x14ac:dyDescent="0.25">
      <c r="B16" s="9" t="s">
        <v>32</v>
      </c>
      <c r="C16" s="10">
        <f>'Other Estimates'!D16</f>
        <v>4</v>
      </c>
      <c r="D16" s="10">
        <f>'Other Estimates'!E16</f>
        <v>8</v>
      </c>
      <c r="E16" s="11" t="s">
        <v>31</v>
      </c>
      <c r="F16" s="10">
        <f>'Other Estimates'!J16</f>
        <v>0</v>
      </c>
      <c r="G16" s="10">
        <f>'Other Estimates'!K16</f>
        <v>0</v>
      </c>
      <c r="H16" s="12">
        <f>ROUND((C16+D16)/2,2)</f>
        <v>6</v>
      </c>
      <c r="I16" s="13">
        <v>1</v>
      </c>
      <c r="J16" s="12">
        <f>ROUND(H16/($C$48*I16),2)</f>
        <v>0.15</v>
      </c>
    </row>
    <row r="17" spans="2:10" x14ac:dyDescent="0.25">
      <c r="B17" s="9" t="s">
        <v>33</v>
      </c>
      <c r="C17" s="10">
        <f>'Other Estimates'!D22</f>
        <v>2.88</v>
      </c>
      <c r="D17" s="10">
        <f>'Other Estimates'!E22</f>
        <v>5.76</v>
      </c>
      <c r="E17" s="11" t="s">
        <v>31</v>
      </c>
      <c r="F17" s="10">
        <f>'Other Estimates'!J22</f>
        <v>0.36</v>
      </c>
      <c r="G17" s="10">
        <f>'Other Estimates'!K22</f>
        <v>1.21</v>
      </c>
      <c r="H17" s="12">
        <f>ROUND((C17+D17)/2,2)</f>
        <v>4.32</v>
      </c>
      <c r="I17" s="13">
        <v>1</v>
      </c>
      <c r="J17" s="12">
        <f>ROUND(H17/($C$48*I17),2)</f>
        <v>0.11</v>
      </c>
    </row>
    <row r="18" spans="2:10" x14ac:dyDescent="0.25">
      <c r="B18" s="9" t="s">
        <v>34</v>
      </c>
      <c r="C18" s="10">
        <f>'Other Estimates'!D28</f>
        <v>0</v>
      </c>
      <c r="D18" s="10">
        <f>'Other Estimates'!E28</f>
        <v>0</v>
      </c>
      <c r="E18" s="11" t="s">
        <v>35</v>
      </c>
      <c r="F18" s="10">
        <f>'Other Estimates'!J28</f>
        <v>0</v>
      </c>
      <c r="G18" s="10">
        <f>'Other Estimates'!K28</f>
        <v>0</v>
      </c>
      <c r="H18" s="12">
        <f>ROUND((C18+D18)/2,2)</f>
        <v>0</v>
      </c>
      <c r="I18" s="13">
        <v>1</v>
      </c>
      <c r="J18" s="12">
        <f>ROUND(H18/($C$48*I18),2)</f>
        <v>0</v>
      </c>
    </row>
    <row r="19" spans="2:10" x14ac:dyDescent="0.25">
      <c r="B19" s="9" t="s">
        <v>36</v>
      </c>
      <c r="C19" s="10">
        <f>'Design Estimates'!D6</f>
        <v>2</v>
      </c>
      <c r="D19" s="10">
        <f>'Design Estimates'!E6</f>
        <v>4</v>
      </c>
      <c r="E19" s="11" t="s">
        <v>37</v>
      </c>
      <c r="F19" s="10">
        <f>'Design Estimates'!J6</f>
        <v>0</v>
      </c>
      <c r="G19" s="10">
        <f>'Design Estimates'!K6</f>
        <v>0</v>
      </c>
      <c r="H19" s="12">
        <f>ROUND((C19+D19)/2,2)</f>
        <v>3</v>
      </c>
      <c r="I19" s="13">
        <v>1</v>
      </c>
      <c r="J19" s="12">
        <f>ROUND(H19/($C$48*I19),2)</f>
        <v>0.08</v>
      </c>
    </row>
    <row r="20" spans="2:8" x14ac:dyDescent="0.25">
      <c r="B20" s="11" t="s">
        <v>38</v>
      </c>
      <c r="C20" s="14">
        <f>SUM(C11:C18)+IF($C$47="Yes",C19,0)</f>
        <v>158.77</v>
      </c>
      <c r="D20" s="14">
        <f>SUM(D11:D18)+IF($C$47="Yes",D19,0)</f>
        <v>279.72</v>
      </c>
      <c r="F20" s="14">
        <f>SUM(F11:F19)+F21</f>
        <v>18.65</v>
      </c>
      <c r="G20" s="14">
        <f>SUM(G11:G19)+G21</f>
        <v>69.13</v>
      </c>
      <c r="H20" s="14">
        <f>ROUND((C20+D20)/2,2)</f>
        <v>219.25</v>
      </c>
    </row>
    <row r="21" spans="2:7" x14ac:dyDescent="0.25">
      <c r="B21" s="9" t="s">
        <v>39</v>
      </c>
      <c r="F21" s="10">
        <v>1.62</v>
      </c>
      <c r="G21" s="10">
        <v>11.81</v>
      </c>
    </row>
    <row r="23" spans="2:2" x14ac:dyDescent="0.25">
      <c r="B23" s="3" t="s">
        <v>40</v>
      </c>
    </row>
    <row r="24" spans="2:5" x14ac:dyDescent="0.25">
      <c r="B24" s="6" t="s">
        <v>41</v>
      </c>
      <c r="C24" s="6" t="s">
        <v>42</v>
      </c>
      <c r="D24" s="6" t="s">
        <v>43</v>
      </c>
      <c r="E24" s="6" t="s">
        <v>16</v>
      </c>
    </row>
    <row r="25" spans="2:5" x14ac:dyDescent="0.25">
      <c r="B25" s="11" t="s">
        <v>44</v>
      </c>
      <c r="C25" s="15" t="s">
        <v>45</v>
      </c>
      <c r="E25" s="11" t="s">
        <v>46</v>
      </c>
    </row>
    <row r="26" spans="2:5" x14ac:dyDescent="0.25">
      <c r="B26" s="11" t="s">
        <v>47</v>
      </c>
      <c r="C26" s="15" t="s">
        <v>48</v>
      </c>
      <c r="E26" s="11" t="s">
        <v>49</v>
      </c>
    </row>
    <row r="27" spans="2:5" x14ac:dyDescent="0.25">
      <c r="B27" s="11" t="s">
        <v>50</v>
      </c>
      <c r="C27" s="15" t="s">
        <v>51</v>
      </c>
      <c r="E27" s="11" t="s">
        <v>52</v>
      </c>
    </row>
    <row r="28" spans="2:5" x14ac:dyDescent="0.25">
      <c r="B28" s="11" t="s">
        <v>53</v>
      </c>
      <c r="C28" s="15" t="s">
        <v>48</v>
      </c>
      <c r="E28" s="11" t="s">
        <v>49</v>
      </c>
    </row>
    <row r="29" spans="2:5" x14ac:dyDescent="0.25">
      <c r="B29" s="11" t="s">
        <v>54</v>
      </c>
      <c r="C29" s="15" t="s">
        <v>55</v>
      </c>
      <c r="E29" s="11" t="s">
        <v>56</v>
      </c>
    </row>
    <row r="30" spans="2:5" x14ac:dyDescent="0.25">
      <c r="B30" s="11" t="s">
        <v>57</v>
      </c>
      <c r="C30" s="15" t="s">
        <v>48</v>
      </c>
      <c r="E30" s="11" t="s">
        <v>49</v>
      </c>
    </row>
    <row r="31" spans="2:5" x14ac:dyDescent="0.25">
      <c r="B31" s="11" t="s">
        <v>58</v>
      </c>
      <c r="C31" s="15" t="s">
        <v>48</v>
      </c>
      <c r="E31" s="11" t="s">
        <v>49</v>
      </c>
    </row>
    <row r="32" spans="2:5" x14ac:dyDescent="0.25">
      <c r="B32" s="11" t="s">
        <v>59</v>
      </c>
      <c r="C32" s="15" t="s">
        <v>60</v>
      </c>
      <c r="E32" s="11" t="s">
        <v>43</v>
      </c>
    </row>
    <row r="46" spans="2:2" x14ac:dyDescent="0.25">
      <c r="B46" s="3" t="s">
        <v>61</v>
      </c>
    </row>
    <row r="47" spans="2:3" x14ac:dyDescent="0.25">
      <c r="B47" s="3" t="s">
        <v>62</v>
      </c>
      <c r="C47" s="4" t="s">
        <v>63</v>
      </c>
    </row>
    <row r="48" spans="2:3" x14ac:dyDescent="0.25">
      <c r="B48" s="3" t="s">
        <v>64</v>
      </c>
      <c r="C48" s="4">
        <v>40</v>
      </c>
    </row>
    <row r="49" spans="2:3" x14ac:dyDescent="0.25">
      <c r="B49" s="3" t="s">
        <v>65</v>
      </c>
      <c r="C49" s="4">
        <v>2</v>
      </c>
    </row>
    <row r="50" spans="2:3" x14ac:dyDescent="0.25">
      <c r="B50" s="3" t="s">
        <v>66</v>
      </c>
      <c r="C50" s="4" t="s">
        <v>67</v>
      </c>
    </row>
    <row r="51" spans="2:3" x14ac:dyDescent="0.25">
      <c r="B51" s="3" t="s">
        <v>68</v>
      </c>
      <c r="C51" s="4" t="s">
        <v>69</v>
      </c>
    </row>
    <row r="52" spans="2:3" x14ac:dyDescent="0.25">
      <c r="B52" s="3" t="s">
        <v>70</v>
      </c>
      <c r="C52" s="4" t="s">
        <v>71</v>
      </c>
    </row>
    <row r="55" spans="2:2" x14ac:dyDescent="0.25">
      <c r="B55" s="3" t="s">
        <v>72</v>
      </c>
    </row>
    <row r="56" spans="2:5" x14ac:dyDescent="0.25">
      <c r="B56" s="6" t="s">
        <v>73</v>
      </c>
      <c r="C56" s="6" t="s">
        <v>74</v>
      </c>
      <c r="D56" s="6" t="s">
        <v>75</v>
      </c>
      <c r="E56" s="6" t="s">
        <v>76</v>
      </c>
    </row>
    <row r="57" spans="2:5" x14ac:dyDescent="0.25">
      <c r="B57" s="11" t="s">
        <v>77</v>
      </c>
      <c r="C57" s="16">
        <v>0.74</v>
      </c>
      <c r="D57" s="16">
        <v>2.86</v>
      </c>
      <c r="E57" s="11" t="s">
        <v>78</v>
      </c>
    </row>
    <row r="58" spans="2:5" x14ac:dyDescent="0.25">
      <c r="B58" s="11" t="s">
        <v>79</v>
      </c>
      <c r="C58" s="16">
        <v>0.06</v>
      </c>
      <c r="D58" s="16">
        <v>7.98</v>
      </c>
      <c r="E58" s="11" t="s">
        <v>78</v>
      </c>
    </row>
    <row r="59" spans="2:5" x14ac:dyDescent="0.25">
      <c r="B59" s="11" t="s">
        <v>80</v>
      </c>
      <c r="C59" s="16">
        <v>0.82</v>
      </c>
      <c r="D59" s="16">
        <v>0.97</v>
      </c>
      <c r="E59" s="11" t="s">
        <v>81</v>
      </c>
    </row>
    <row r="60" spans="2:5" x14ac:dyDescent="0.25">
      <c r="B60" s="11" t="s">
        <v>82</v>
      </c>
      <c r="C60" s="16">
        <v>15.44</v>
      </c>
      <c r="D60" s="16">
        <v>53</v>
      </c>
      <c r="E60" s="11" t="s">
        <v>83</v>
      </c>
    </row>
    <row r="61" spans="2:5" x14ac:dyDescent="0.25">
      <c r="B61" s="11" t="s">
        <v>84</v>
      </c>
      <c r="C61" s="16">
        <v>1.59</v>
      </c>
      <c r="D61" s="16">
        <v>4.32</v>
      </c>
      <c r="E61" s="11" t="s">
        <v>85</v>
      </c>
    </row>
    <row r="62" spans="2:4" x14ac:dyDescent="0.25">
      <c r="B62" s="3" t="s">
        <v>86</v>
      </c>
      <c r="C62" s="17">
        <f>SUM(C57:C61)</f>
        <v>18.65</v>
      </c>
      <c r="D62" s="17">
        <f>SUM(D57:D61)</f>
        <v>69.13</v>
      </c>
    </row>
    <row r="63" spans="2:3" x14ac:dyDescent="0.25">
      <c r="B63" s="3" t="s">
        <v>87</v>
      </c>
      <c r="C63" s="4" t="s">
        <v>88</v>
      </c>
    </row>
    <row r="64" spans="2:3" x14ac:dyDescent="0.25">
      <c r="B64" s="3" t="s">
        <v>89</v>
      </c>
      <c r="C64" s="4" t="s">
        <v>90</v>
      </c>
    </row>
    <row r="66" spans="2:2" x14ac:dyDescent="0.25">
      <c r="B66" s="3" t="s">
        <v>91</v>
      </c>
    </row>
    <row r="67" spans="2:2" x14ac:dyDescent="0.25">
      <c r="B67" s="11" t="s">
        <v>92</v>
      </c>
    </row>
    <row r="68" spans="2:3" x14ac:dyDescent="0.25">
      <c r="B68" s="11" t="s">
        <v>93</v>
      </c>
      <c r="C68" s="4" t="s">
        <v>94</v>
      </c>
    </row>
    <row r="69" spans="2:3" x14ac:dyDescent="0.25">
      <c r="B69" s="11" t="s">
        <v>95</v>
      </c>
      <c r="C69" s="4" t="s">
        <v>96</v>
      </c>
    </row>
    <row r="70" spans="2:4" x14ac:dyDescent="0.25">
      <c r="B70" s="6" t="s">
        <v>97</v>
      </c>
      <c r="C70" s="6" t="s">
        <v>14</v>
      </c>
      <c r="D70" s="6" t="s">
        <v>15</v>
      </c>
    </row>
    <row r="71" spans="2:4" x14ac:dyDescent="0.25">
      <c r="B71" s="11" t="s">
        <v>98</v>
      </c>
      <c r="C71" s="16">
        <v>111.65</v>
      </c>
      <c r="D71" s="16">
        <v>195.07</v>
      </c>
    </row>
    <row r="72" spans="2:4" x14ac:dyDescent="0.25">
      <c r="B72" s="11" t="s">
        <v>99</v>
      </c>
      <c r="C72" s="16">
        <v>37.12</v>
      </c>
      <c r="D72" s="16">
        <v>64.65</v>
      </c>
    </row>
    <row r="73" spans="2:4" x14ac:dyDescent="0.25">
      <c r="B73" s="11" t="s">
        <v>100</v>
      </c>
      <c r="C73" s="16">
        <v>10</v>
      </c>
      <c r="D73" s="16">
        <v>20</v>
      </c>
    </row>
    <row r="75" spans="2:2" x14ac:dyDescent="0.25">
      <c r="B75" s="3" t="s">
        <v>101</v>
      </c>
    </row>
    <row r="76" spans="2:3" x14ac:dyDescent="0.25">
      <c r="B76" s="11" t="s">
        <v>102</v>
      </c>
      <c r="C76" s="16">
        <v>0</v>
      </c>
    </row>
    <row r="77" spans="2:4" x14ac:dyDescent="0.25">
      <c r="B77" s="11" t="s">
        <v>103</v>
      </c>
      <c r="C77" s="16">
        <v>10.45</v>
      </c>
      <c r="D77" s="16">
        <v>17.74</v>
      </c>
    </row>
    <row r="79" spans="2:2" x14ac:dyDescent="0.25">
      <c r="B79" s="3" t="s">
        <v>104</v>
      </c>
    </row>
    <row r="80" spans="2:2" x14ac:dyDescent="0.25">
      <c r="B80" s="11" t="s">
        <v>105</v>
      </c>
    </row>
    <row r="81" spans="2:2" x14ac:dyDescent="0.25">
      <c r="B81" s="11" t="s">
        <v>106</v>
      </c>
    </row>
    <row r="82" spans="2:2" x14ac:dyDescent="0.25">
      <c r="B82" s="11" t="s">
        <v>107</v>
      </c>
    </row>
    <row r="83" spans="2:2" x14ac:dyDescent="0.25">
      <c r="B83" s="11" t="s">
        <v>108</v>
      </c>
    </row>
    <row r="84" spans="2:2" x14ac:dyDescent="0.25">
      <c r="B84" s="11" t="s">
        <v>109</v>
      </c>
    </row>
    <row r="85" spans="2:2" x14ac:dyDescent="0.25">
      <c r="B85" s="11" t="s">
        <v>110</v>
      </c>
    </row>
    <row r="86" spans="2:2" x14ac:dyDescent="0.25">
      <c r="B86" s="11" t="s">
        <v>111</v>
      </c>
    </row>
    <row r="87" spans="2:2" x14ac:dyDescent="0.25">
      <c r="B87" s="11" t="s">
        <v>112</v>
      </c>
    </row>
    <row r="88" spans="2:2" x14ac:dyDescent="0.25">
      <c r="B88" s="11" t="s">
        <v>113</v>
      </c>
    </row>
    <row r="89" spans="2:2" x14ac:dyDescent="0.25">
      <c r="B89" s="11" t="s">
        <v>114</v>
      </c>
    </row>
    <row r="90" spans="2:2" x14ac:dyDescent="0.25">
      <c r="B90" s="11" t="s">
        <v>115</v>
      </c>
    </row>
    <row r="91" spans="2:2" x14ac:dyDescent="0.25">
      <c r="B91" s="11" t="s">
        <v>116</v>
      </c>
    </row>
    <row r="92" spans="2:2" x14ac:dyDescent="0.25">
      <c r="B92" s="11" t="s">
        <v>117</v>
      </c>
    </row>
    <row r="93" spans="2:2" x14ac:dyDescent="0.25">
      <c r="B93" s="11" t="s">
        <v>118</v>
      </c>
    </row>
    <row r="94" spans="2:2" x14ac:dyDescent="0.25">
      <c r="B94" s="11" t="s">
        <v>119</v>
      </c>
    </row>
    <row r="95" spans="2:2" x14ac:dyDescent="0.25">
      <c r="B95" s="11" t="s">
        <v>120</v>
      </c>
    </row>
    <row r="96" spans="2:2" x14ac:dyDescent="0.25">
      <c r="B96" s="11" t="s">
        <v>121</v>
      </c>
    </row>
    <row r="97" spans="2:2" x14ac:dyDescent="0.25">
      <c r="B97" s="11" t="s">
        <v>122</v>
      </c>
    </row>
    <row r="98" spans="2:2" x14ac:dyDescent="0.25">
      <c r="B98" s="11" t="s">
        <v>123</v>
      </c>
    </row>
    <row r="99" spans="2:2" x14ac:dyDescent="0.25">
      <c r="B99" s="11" t="s">
        <v>124</v>
      </c>
    </row>
    <row r="100" spans="2:2" x14ac:dyDescent="0.25">
      <c r="B100" s="11" t="s">
        <v>125</v>
      </c>
    </row>
    <row r="101" spans="2:2" x14ac:dyDescent="0.25">
      <c r="B101" s="11" t="s">
        <v>126</v>
      </c>
    </row>
    <row r="102" spans="2:2" x14ac:dyDescent="0.25">
      <c r="B102" s="11" t="s">
        <v>127</v>
      </c>
    </row>
    <row r="103" spans="2:2" x14ac:dyDescent="0.25">
      <c r="B103" s="11" t="s">
        <v>128</v>
      </c>
    </row>
    <row r="104" spans="2:2" x14ac:dyDescent="0.25">
      <c r="B104" s="11" t="s">
        <v>129</v>
      </c>
    </row>
    <row r="105" spans="2:2" x14ac:dyDescent="0.25">
      <c r="B105" s="11" t="s">
        <v>130</v>
      </c>
    </row>
    <row r="106" spans="2:2" x14ac:dyDescent="0.25">
      <c r="B106" s="11" t="s">
        <v>131</v>
      </c>
    </row>
    <row r="107" spans="2:2" x14ac:dyDescent="0.25">
      <c r="B107" s="11" t="s">
        <v>132</v>
      </c>
    </row>
  </sheetData>
  <mergeCells count="4">
    <mergeCell ref="B2:E2"/>
    <mergeCell ref="B3:E3"/>
    <mergeCell ref="C9:D9"/>
    <mergeCell ref="F9:G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4"/>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8" t="s">
        <v>133</v>
      </c>
      <c r="C2" s="18"/>
      <c r="D2" s="18"/>
      <c r="E2" s="18"/>
      <c r="F2" s="18"/>
    </row>
    <row r="3" spans="2:6" x14ac:dyDescent="0.25">
      <c r="B3" s="19" t="s">
        <v>8</v>
      </c>
      <c r="C3" s="19"/>
      <c r="D3" s="19"/>
      <c r="E3" s="19"/>
      <c r="F3" s="19"/>
    </row>
    <row r="4" spans="2:6" x14ac:dyDescent="0.25">
      <c r="B4" s="20" t="s">
        <v>134</v>
      </c>
      <c r="C4" s="20"/>
      <c r="D4" s="20"/>
      <c r="E4" s="20"/>
      <c r="F4" s="20"/>
    </row>
    <row r="6" spans="3:11" x14ac:dyDescent="0.25">
      <c r="C6" s="21" t="s">
        <v>135</v>
      </c>
      <c r="D6" s="22">
        <f>D26+D31+D36</f>
        <v>62.58</v>
      </c>
      <c r="E6" s="22">
        <f>E26+E31+E36</f>
        <v>110.56</v>
      </c>
      <c r="F6" s="23" t="s">
        <v>136</v>
      </c>
      <c r="I6" s="21" t="s">
        <v>137</v>
      </c>
      <c r="J6" s="22">
        <f>J26+J31+J36</f>
        <v>7.22</v>
      </c>
      <c r="K6" s="22">
        <f>K26+K31+K36</f>
        <v>24.29</v>
      </c>
    </row>
    <row r="8" spans="2:11" x14ac:dyDescent="0.25">
      <c r="B8" s="24" t="s">
        <v>138</v>
      </c>
      <c r="C8" s="25" t="s">
        <v>139</v>
      </c>
      <c r="D8" s="26" t="s">
        <v>14</v>
      </c>
      <c r="E8" s="26" t="s">
        <v>15</v>
      </c>
      <c r="F8" s="24" t="s">
        <v>16</v>
      </c>
      <c r="G8" s="24" t="s">
        <v>93</v>
      </c>
      <c r="H8" s="24" t="s">
        <v>140</v>
      </c>
      <c r="I8" s="24" t="s">
        <v>141</v>
      </c>
      <c r="J8" s="24" t="s">
        <v>17</v>
      </c>
      <c r="K8" s="24" t="s">
        <v>18</v>
      </c>
    </row>
    <row r="9" spans="2:11" x14ac:dyDescent="0.25">
      <c r="B9" s="27">
        <v>1</v>
      </c>
      <c r="C9" s="28" t="s">
        <v>142</v>
      </c>
      <c r="D9" s="29">
        <f>SUM(D10:D10)</f>
        <v>17.47</v>
      </c>
      <c r="E9" s="29">
        <f>SUM(E10:E10)</f>
        <v>30.58</v>
      </c>
      <c r="F9" s="30" t="s">
        <v>43</v>
      </c>
      <c r="J9" s="16">
        <f>SUM(J10:J10)</f>
        <v>2</v>
      </c>
      <c r="K9" s="16">
        <f>SUM(K10:K10)</f>
        <v>6.74</v>
      </c>
    </row>
    <row r="10" spans="2:11" x14ac:dyDescent="0.25">
      <c r="B10" s="11" t="s">
        <v>43</v>
      </c>
      <c r="C10" s="31" t="s">
        <v>143</v>
      </c>
      <c r="D10" s="32">
        <v>17.47</v>
      </c>
      <c r="E10" s="32">
        <v>30.58</v>
      </c>
      <c r="F10" s="9" t="s">
        <v>144</v>
      </c>
      <c r="G10" t="s">
        <v>99</v>
      </c>
      <c r="H10" t="s">
        <v>43</v>
      </c>
      <c r="I10" t="s">
        <v>145</v>
      </c>
      <c r="J10" s="16">
        <v>2</v>
      </c>
      <c r="K10" s="16">
        <v>6.74</v>
      </c>
    </row>
    <row r="12" spans="2:11" x14ac:dyDescent="0.25">
      <c r="B12" s="27">
        <v>2</v>
      </c>
      <c r="C12" s="28" t="s">
        <v>146</v>
      </c>
      <c r="D12" s="29">
        <f>SUM(D13:D14)</f>
        <v>5.52</v>
      </c>
      <c r="E12" s="29">
        <f>SUM(E13:E14)</f>
        <v>11.04</v>
      </c>
      <c r="F12" s="30" t="s">
        <v>43</v>
      </c>
      <c r="J12" s="16">
        <f>SUM(J13:J14)</f>
        <v>0.69</v>
      </c>
      <c r="K12" s="16">
        <f>SUM(K13:K14)</f>
        <v>2.32</v>
      </c>
    </row>
    <row r="13" spans="2:11" x14ac:dyDescent="0.25">
      <c r="B13" s="11" t="s">
        <v>43</v>
      </c>
      <c r="C13" s="31" t="s">
        <v>147</v>
      </c>
      <c r="D13" s="32">
        <v>3.9</v>
      </c>
      <c r="E13" s="32">
        <v>7.8</v>
      </c>
      <c r="F13" s="9" t="s">
        <v>148</v>
      </c>
      <c r="G13" t="s">
        <v>98</v>
      </c>
      <c r="H13" t="s">
        <v>149</v>
      </c>
      <c r="I13" t="s">
        <v>150</v>
      </c>
      <c r="J13" s="16">
        <v>0.49</v>
      </c>
      <c r="K13" s="16">
        <v>1.64</v>
      </c>
    </row>
    <row r="14" spans="2:11" x14ac:dyDescent="0.25">
      <c r="B14" s="11" t="s">
        <v>43</v>
      </c>
      <c r="C14" s="31" t="s">
        <v>151</v>
      </c>
      <c r="D14" s="32">
        <v>1.62</v>
      </c>
      <c r="E14" s="32">
        <v>3.24</v>
      </c>
      <c r="F14" s="9" t="s">
        <v>152</v>
      </c>
      <c r="G14" t="s">
        <v>98</v>
      </c>
      <c r="H14" t="s">
        <v>153</v>
      </c>
      <c r="I14" t="s">
        <v>154</v>
      </c>
      <c r="J14" s="16">
        <v>0.2</v>
      </c>
      <c r="K14" s="16">
        <v>0.68</v>
      </c>
    </row>
    <row r="16" spans="2:11" x14ac:dyDescent="0.25">
      <c r="B16" s="27">
        <v>3</v>
      </c>
      <c r="C16" s="28" t="s">
        <v>155</v>
      </c>
      <c r="D16" s="29">
        <f>SUM(D17:D18)</f>
        <v>14.96</v>
      </c>
      <c r="E16" s="29">
        <f>SUM(E17:E18)</f>
        <v>26.72</v>
      </c>
      <c r="F16" s="30" t="s">
        <v>43</v>
      </c>
      <c r="J16" s="16">
        <f>SUM(J17:J18)</f>
        <v>1.74</v>
      </c>
      <c r="K16" s="16">
        <f>SUM(K17:K18)</f>
        <v>5.85</v>
      </c>
    </row>
    <row r="17" spans="2:11" x14ac:dyDescent="0.25">
      <c r="B17" s="11" t="s">
        <v>43</v>
      </c>
      <c r="C17" s="31" t="s">
        <v>156</v>
      </c>
      <c r="D17" s="32">
        <v>2.16</v>
      </c>
      <c r="E17" s="32">
        <v>4.32</v>
      </c>
      <c r="F17" s="9" t="s">
        <v>157</v>
      </c>
      <c r="G17" t="s">
        <v>98</v>
      </c>
      <c r="H17" t="s">
        <v>158</v>
      </c>
      <c r="I17" t="s">
        <v>159</v>
      </c>
      <c r="J17" s="16">
        <v>0.27</v>
      </c>
      <c r="K17" s="16">
        <v>0.91</v>
      </c>
    </row>
    <row r="18" spans="2:11" x14ac:dyDescent="0.25">
      <c r="B18" s="11" t="s">
        <v>43</v>
      </c>
      <c r="C18" s="31" t="s">
        <v>160</v>
      </c>
      <c r="D18" s="32">
        <v>12.8</v>
      </c>
      <c r="E18" s="32">
        <v>22.4</v>
      </c>
      <c r="F18" s="9" t="s">
        <v>161</v>
      </c>
      <c r="G18" t="s">
        <v>98</v>
      </c>
      <c r="H18" t="s">
        <v>162</v>
      </c>
      <c r="I18" t="s">
        <v>163</v>
      </c>
      <c r="J18" s="16">
        <v>1.47</v>
      </c>
      <c r="K18" s="16">
        <v>4.94</v>
      </c>
    </row>
    <row r="20" spans="2:11" x14ac:dyDescent="0.25">
      <c r="B20" s="27">
        <v>4</v>
      </c>
      <c r="C20" s="28" t="s">
        <v>164</v>
      </c>
      <c r="D20" s="29">
        <f>SUM(D21:D24)</f>
        <v>24.63</v>
      </c>
      <c r="E20" s="29">
        <f>SUM(E21:E24)</f>
        <v>42.22</v>
      </c>
      <c r="F20" s="30" t="s">
        <v>43</v>
      </c>
      <c r="J20" s="16">
        <f>SUM(J21:J24)</f>
        <v>2.79</v>
      </c>
      <c r="K20" s="16">
        <f>SUM(K21:K24)</f>
        <v>9.38</v>
      </c>
    </row>
    <row r="21" spans="2:11" x14ac:dyDescent="0.25">
      <c r="B21" s="11" t="s">
        <v>43</v>
      </c>
      <c r="C21" s="31" t="s">
        <v>165</v>
      </c>
      <c r="D21" s="32">
        <v>13.1</v>
      </c>
      <c r="E21" s="32">
        <v>20.97</v>
      </c>
      <c r="F21" s="9" t="s">
        <v>166</v>
      </c>
      <c r="G21" t="s">
        <v>99</v>
      </c>
      <c r="H21" t="s">
        <v>167</v>
      </c>
      <c r="I21" t="s">
        <v>168</v>
      </c>
      <c r="J21" s="16">
        <v>1.42</v>
      </c>
      <c r="K21" s="16">
        <v>4.78</v>
      </c>
    </row>
    <row r="22" spans="2:11" x14ac:dyDescent="0.25">
      <c r="B22" s="11" t="s">
        <v>43</v>
      </c>
      <c r="C22" s="31" t="s">
        <v>169</v>
      </c>
      <c r="D22" s="32">
        <v>2.7</v>
      </c>
      <c r="E22" s="32">
        <v>5.4</v>
      </c>
      <c r="F22" s="9" t="s">
        <v>170</v>
      </c>
      <c r="G22" t="s">
        <v>98</v>
      </c>
      <c r="H22" t="s">
        <v>171</v>
      </c>
      <c r="I22" t="s">
        <v>172</v>
      </c>
      <c r="J22" s="16">
        <v>0.34</v>
      </c>
      <c r="K22" s="16">
        <v>1.14</v>
      </c>
    </row>
    <row r="23" spans="2:11" x14ac:dyDescent="0.25">
      <c r="B23" s="11" t="s">
        <v>43</v>
      </c>
      <c r="C23" s="31" t="s">
        <v>173</v>
      </c>
      <c r="D23" s="32">
        <v>1.62</v>
      </c>
      <c r="E23" s="32">
        <v>3.24</v>
      </c>
      <c r="F23" s="9" t="s">
        <v>174</v>
      </c>
      <c r="G23" t="s">
        <v>98</v>
      </c>
      <c r="H23" t="s">
        <v>175</v>
      </c>
      <c r="I23" t="s">
        <v>176</v>
      </c>
      <c r="J23" s="16">
        <v>0.2</v>
      </c>
      <c r="K23" s="16">
        <v>0.68</v>
      </c>
    </row>
    <row r="24" spans="2:11" x14ac:dyDescent="0.25">
      <c r="B24" s="11" t="s">
        <v>43</v>
      </c>
      <c r="C24" s="31" t="s">
        <v>177</v>
      </c>
      <c r="D24" s="32">
        <v>7.21</v>
      </c>
      <c r="E24" s="32">
        <v>12.61</v>
      </c>
      <c r="F24" s="9" t="s">
        <v>178</v>
      </c>
      <c r="G24" t="s">
        <v>98</v>
      </c>
      <c r="H24" t="s">
        <v>179</v>
      </c>
      <c r="I24" t="s">
        <v>180</v>
      </c>
      <c r="J24" s="16">
        <v>0.83</v>
      </c>
      <c r="K24" s="16">
        <v>2.78</v>
      </c>
    </row>
    <row r="26" spans="2:11" x14ac:dyDescent="0.25">
      <c r="B26" s="33" t="s">
        <v>43</v>
      </c>
      <c r="C26" s="33" t="s">
        <v>181</v>
      </c>
      <c r="D26" s="34">
        <f>D9+D12+D16+D20</f>
        <v>62.58</v>
      </c>
      <c r="E26" s="34">
        <f>E9+E12+E16+E20</f>
        <v>110.56</v>
      </c>
      <c r="F26" s="35" t="s">
        <v>43</v>
      </c>
      <c r="J26" s="17">
        <f>J9+J12+J16+J20</f>
        <v>7.22</v>
      </c>
      <c r="K26" s="17">
        <f>K9+K12+K16+K20</f>
        <v>24.29</v>
      </c>
    </row>
    <row r="29" spans="2:11" x14ac:dyDescent="0.25">
      <c r="B29" s="24" t="s">
        <v>138</v>
      </c>
      <c r="C29" s="25" t="s">
        <v>182</v>
      </c>
      <c r="D29" s="26" t="s">
        <v>14</v>
      </c>
      <c r="E29" s="26" t="s">
        <v>15</v>
      </c>
      <c r="F29" s="24" t="s">
        <v>16</v>
      </c>
      <c r="G29" s="24" t="s">
        <v>93</v>
      </c>
      <c r="H29" s="24" t="s">
        <v>140</v>
      </c>
      <c r="I29" s="24" t="s">
        <v>141</v>
      </c>
      <c r="J29" s="24" t="s">
        <v>17</v>
      </c>
      <c r="K29" s="24" t="s">
        <v>18</v>
      </c>
    </row>
    <row r="30" spans="2:11" x14ac:dyDescent="0.25">
      <c r="B30" s="11">
        <v>1</v>
      </c>
      <c r="C30" s="31" t="s">
        <v>183</v>
      </c>
      <c r="D30" s="32">
        <v>0</v>
      </c>
      <c r="E30" s="32">
        <v>0</v>
      </c>
      <c r="F30" s="9" t="s">
        <v>43</v>
      </c>
      <c r="J30" s="16">
        <v>0</v>
      </c>
      <c r="K30" s="16">
        <v>0</v>
      </c>
    </row>
    <row r="31" spans="2:11" x14ac:dyDescent="0.25">
      <c r="B31" s="33" t="s">
        <v>43</v>
      </c>
      <c r="C31" s="33" t="s">
        <v>184</v>
      </c>
      <c r="D31" s="34">
        <f>SUM(D30:D30)</f>
        <v>0</v>
      </c>
      <c r="E31" s="34">
        <f>SUM(E30:E30)</f>
        <v>0</v>
      </c>
      <c r="F31" s="35" t="s">
        <v>43</v>
      </c>
      <c r="J31" s="17">
        <f>SUM(J30:J30)</f>
        <v>0</v>
      </c>
      <c r="K31" s="17">
        <f>SUM(K30:K30)</f>
        <v>0</v>
      </c>
    </row>
    <row r="34" spans="2:11" x14ac:dyDescent="0.25">
      <c r="B34" s="24" t="s">
        <v>138</v>
      </c>
      <c r="C34" s="25" t="s">
        <v>185</v>
      </c>
      <c r="D34" s="26" t="s">
        <v>14</v>
      </c>
      <c r="E34" s="26" t="s">
        <v>15</v>
      </c>
      <c r="F34" s="24" t="s">
        <v>16</v>
      </c>
      <c r="G34" s="24" t="s">
        <v>93</v>
      </c>
      <c r="H34" s="24" t="s">
        <v>140</v>
      </c>
      <c r="I34" s="24" t="s">
        <v>141</v>
      </c>
      <c r="J34" s="24" t="s">
        <v>17</v>
      </c>
      <c r="K34" s="24" t="s">
        <v>18</v>
      </c>
    </row>
    <row r="35" spans="2:11" x14ac:dyDescent="0.25">
      <c r="B35" s="11">
        <v>1</v>
      </c>
      <c r="C35" s="31" t="s">
        <v>183</v>
      </c>
      <c r="D35" s="32">
        <v>0</v>
      </c>
      <c r="E35" s="32">
        <v>0</v>
      </c>
      <c r="F35" s="9" t="s">
        <v>186</v>
      </c>
      <c r="J35" s="16">
        <v>0</v>
      </c>
      <c r="K35" s="16">
        <v>0</v>
      </c>
    </row>
    <row r="36" spans="2:11" x14ac:dyDescent="0.25">
      <c r="B36" s="33" t="s">
        <v>43</v>
      </c>
      <c r="C36" s="33" t="s">
        <v>187</v>
      </c>
      <c r="D36" s="34">
        <f>SUM(D35:D35)</f>
        <v>0</v>
      </c>
      <c r="E36" s="34">
        <f>SUM(E35:E35)</f>
        <v>0</v>
      </c>
      <c r="F36" s="35" t="s">
        <v>43</v>
      </c>
      <c r="J36" s="17">
        <f>SUM(J35:J35)</f>
        <v>0</v>
      </c>
      <c r="K36" s="17">
        <f>SUM(K35:K35)</f>
        <v>0</v>
      </c>
    </row>
    <row r="39" spans="2:6" x14ac:dyDescent="0.25">
      <c r="B39" s="24" t="s">
        <v>138</v>
      </c>
      <c r="C39" s="25" t="s">
        <v>188</v>
      </c>
      <c r="D39" s="25"/>
      <c r="E39" s="25"/>
      <c r="F39" s="25"/>
    </row>
    <row r="40" spans="2:6" x14ac:dyDescent="0.25">
      <c r="B40" s="11">
        <v>1</v>
      </c>
      <c r="C40" s="31" t="s">
        <v>105</v>
      </c>
      <c r="D40" s="31"/>
      <c r="E40" s="31"/>
      <c r="F40" s="31"/>
    </row>
    <row r="41" spans="2:6" x14ac:dyDescent="0.25">
      <c r="B41" s="11">
        <v>2</v>
      </c>
      <c r="C41" s="31" t="s">
        <v>106</v>
      </c>
      <c r="D41" s="31"/>
      <c r="E41" s="31"/>
      <c r="F41" s="31"/>
    </row>
    <row r="42" spans="2:6" x14ac:dyDescent="0.25">
      <c r="B42" s="11">
        <v>3</v>
      </c>
      <c r="C42" s="31" t="s">
        <v>107</v>
      </c>
      <c r="D42" s="31"/>
      <c r="E42" s="31"/>
      <c r="F42" s="31"/>
    </row>
    <row r="43" spans="2:6" x14ac:dyDescent="0.25">
      <c r="B43" s="11">
        <v>4</v>
      </c>
      <c r="C43" s="31" t="s">
        <v>108</v>
      </c>
      <c r="D43" s="31"/>
      <c r="E43" s="31"/>
      <c r="F43" s="31"/>
    </row>
    <row r="44" spans="2:6" x14ac:dyDescent="0.25">
      <c r="B44" s="11">
        <v>5</v>
      </c>
      <c r="C44" s="31" t="s">
        <v>109</v>
      </c>
      <c r="D44" s="31"/>
      <c r="E44" s="31"/>
      <c r="F44" s="31"/>
    </row>
    <row r="45" spans="2:6" x14ac:dyDescent="0.25">
      <c r="B45" s="11">
        <v>6</v>
      </c>
      <c r="C45" s="31" t="s">
        <v>110</v>
      </c>
      <c r="D45" s="31"/>
      <c r="E45" s="31"/>
      <c r="F45" s="31"/>
    </row>
    <row r="46" spans="2:6" x14ac:dyDescent="0.25">
      <c r="B46" s="11">
        <v>7</v>
      </c>
      <c r="C46" s="31" t="s">
        <v>111</v>
      </c>
      <c r="D46" s="31"/>
      <c r="E46" s="31"/>
      <c r="F46" s="31"/>
    </row>
    <row r="47" spans="2:6" x14ac:dyDescent="0.25">
      <c r="B47" s="11">
        <v>8</v>
      </c>
      <c r="C47" s="31" t="s">
        <v>112</v>
      </c>
      <c r="D47" s="31"/>
      <c r="E47" s="31"/>
      <c r="F47" s="31"/>
    </row>
    <row r="48" spans="2:6" x14ac:dyDescent="0.25">
      <c r="B48" s="11">
        <v>9</v>
      </c>
      <c r="C48" s="31" t="s">
        <v>113</v>
      </c>
      <c r="D48" s="31"/>
      <c r="E48" s="31"/>
      <c r="F48" s="31"/>
    </row>
    <row r="49" spans="2:6" x14ac:dyDescent="0.25">
      <c r="B49" s="11">
        <v>10</v>
      </c>
      <c r="C49" s="31" t="s">
        <v>114</v>
      </c>
      <c r="D49" s="31"/>
      <c r="E49" s="31"/>
      <c r="F49" s="31"/>
    </row>
    <row r="50" spans="2:6" x14ac:dyDescent="0.25">
      <c r="B50" s="11">
        <v>11</v>
      </c>
      <c r="C50" s="31" t="s">
        <v>115</v>
      </c>
      <c r="D50" s="31"/>
      <c r="E50" s="31"/>
      <c r="F50" s="31"/>
    </row>
    <row r="51" spans="2:6" x14ac:dyDescent="0.25">
      <c r="B51" s="11">
        <v>12</v>
      </c>
      <c r="C51" s="31" t="s">
        <v>116</v>
      </c>
      <c r="D51" s="31"/>
      <c r="E51" s="31"/>
      <c r="F51" s="31"/>
    </row>
    <row r="52" spans="2:6" x14ac:dyDescent="0.25">
      <c r="B52" s="11">
        <v>13</v>
      </c>
      <c r="C52" s="31" t="s">
        <v>117</v>
      </c>
      <c r="D52" s="31"/>
      <c r="E52" s="31"/>
      <c r="F52" s="31"/>
    </row>
    <row r="53" spans="2:6" x14ac:dyDescent="0.25">
      <c r="B53" s="11">
        <v>14</v>
      </c>
      <c r="C53" s="31" t="s">
        <v>118</v>
      </c>
      <c r="D53" s="31"/>
      <c r="E53" s="31"/>
      <c r="F53" s="31"/>
    </row>
    <row r="54" spans="2:6" x14ac:dyDescent="0.25">
      <c r="B54" s="11">
        <v>15</v>
      </c>
      <c r="C54" s="31" t="s">
        <v>119</v>
      </c>
      <c r="D54" s="31"/>
      <c r="E54" s="31"/>
      <c r="F54" s="31"/>
    </row>
    <row r="55" spans="2:6" x14ac:dyDescent="0.25">
      <c r="B55" s="11">
        <v>16</v>
      </c>
      <c r="C55" s="31" t="s">
        <v>120</v>
      </c>
      <c r="D55" s="31"/>
      <c r="E55" s="31"/>
      <c r="F55" s="31"/>
    </row>
    <row r="56" spans="2:6" x14ac:dyDescent="0.25">
      <c r="B56" s="11">
        <v>17</v>
      </c>
      <c r="C56" s="31" t="s">
        <v>121</v>
      </c>
      <c r="D56" s="31"/>
      <c r="E56" s="31"/>
      <c r="F56" s="31"/>
    </row>
    <row r="57" spans="2:6" x14ac:dyDescent="0.25">
      <c r="B57" s="11">
        <v>18</v>
      </c>
      <c r="C57" s="31" t="s">
        <v>122</v>
      </c>
      <c r="D57" s="31"/>
      <c r="E57" s="31"/>
      <c r="F57" s="31"/>
    </row>
    <row r="58" spans="2:6" x14ac:dyDescent="0.25">
      <c r="B58" s="11">
        <v>19</v>
      </c>
      <c r="C58" s="31" t="s">
        <v>123</v>
      </c>
      <c r="D58" s="31"/>
      <c r="E58" s="31"/>
      <c r="F58" s="31"/>
    </row>
    <row r="59" spans="2:6" x14ac:dyDescent="0.25">
      <c r="B59" s="11">
        <v>20</v>
      </c>
      <c r="C59" s="31" t="s">
        <v>124</v>
      </c>
      <c r="D59" s="31"/>
      <c r="E59" s="31"/>
      <c r="F59" s="31"/>
    </row>
    <row r="60" spans="2:6" x14ac:dyDescent="0.25">
      <c r="B60" s="11">
        <v>21</v>
      </c>
      <c r="C60" s="31" t="s">
        <v>125</v>
      </c>
      <c r="D60" s="31"/>
      <c r="E60" s="31"/>
      <c r="F60" s="31"/>
    </row>
    <row r="61" spans="2:6" x14ac:dyDescent="0.25">
      <c r="B61" s="11">
        <v>22</v>
      </c>
      <c r="C61" s="31" t="s">
        <v>126</v>
      </c>
      <c r="D61" s="31"/>
      <c r="E61" s="31"/>
      <c r="F61" s="31"/>
    </row>
    <row r="62" spans="2:6" x14ac:dyDescent="0.25">
      <c r="B62" s="11">
        <v>23</v>
      </c>
      <c r="C62" s="31" t="s">
        <v>127</v>
      </c>
      <c r="D62" s="31"/>
      <c r="E62" s="31"/>
      <c r="F62" s="31"/>
    </row>
    <row r="63" spans="2:6" x14ac:dyDescent="0.25">
      <c r="B63" s="11">
        <v>24</v>
      </c>
      <c r="C63" s="31" t="s">
        <v>128</v>
      </c>
      <c r="D63" s="31"/>
      <c r="E63" s="31"/>
      <c r="F63" s="31"/>
    </row>
    <row r="64" spans="2:6" x14ac:dyDescent="0.25">
      <c r="B64" s="11">
        <v>25</v>
      </c>
      <c r="C64" s="31" t="s">
        <v>129</v>
      </c>
      <c r="D64" s="31"/>
      <c r="E64" s="31"/>
      <c r="F64" s="31"/>
    </row>
    <row r="65" spans="2:6" x14ac:dyDescent="0.25">
      <c r="B65" s="11">
        <v>26</v>
      </c>
      <c r="C65" s="31" t="s">
        <v>130</v>
      </c>
      <c r="D65" s="31"/>
      <c r="E65" s="31"/>
      <c r="F65" s="31"/>
    </row>
    <row r="66" spans="2:6" x14ac:dyDescent="0.25">
      <c r="B66" s="11">
        <v>27</v>
      </c>
      <c r="C66" s="31" t="s">
        <v>131</v>
      </c>
      <c r="D66" s="31"/>
      <c r="E66" s="31"/>
      <c r="F66" s="31"/>
    </row>
    <row r="67" spans="2:6" x14ac:dyDescent="0.25">
      <c r="B67" s="11">
        <v>28</v>
      </c>
      <c r="C67" s="31" t="s">
        <v>132</v>
      </c>
      <c r="D67" s="31"/>
      <c r="E67" s="31"/>
      <c r="F67" s="31"/>
    </row>
    <row r="70" spans="2:6" x14ac:dyDescent="0.25">
      <c r="B70" s="24" t="s">
        <v>138</v>
      </c>
      <c r="C70" s="25" t="s">
        <v>189</v>
      </c>
      <c r="D70" s="25"/>
      <c r="E70" s="25"/>
      <c r="F70" s="25"/>
    </row>
    <row r="71" spans="2:6" x14ac:dyDescent="0.25">
      <c r="B71" s="11">
        <v>1</v>
      </c>
      <c r="C71" s="31" t="s">
        <v>190</v>
      </c>
      <c r="D71" s="31"/>
      <c r="E71" s="31"/>
      <c r="F71" s="31"/>
    </row>
    <row r="72" spans="2:6" x14ac:dyDescent="0.25">
      <c r="B72" s="11">
        <v>2</v>
      </c>
      <c r="C72" s="31" t="s">
        <v>191</v>
      </c>
      <c r="D72" s="31"/>
      <c r="E72" s="31"/>
      <c r="F72" s="31"/>
    </row>
    <row r="73" spans="2:6" x14ac:dyDescent="0.25">
      <c r="B73" s="11">
        <v>3</v>
      </c>
      <c r="C73" s="31" t="s">
        <v>192</v>
      </c>
      <c r="D73" s="31"/>
      <c r="E73" s="31"/>
      <c r="F73" s="31"/>
    </row>
    <row r="74" spans="2:6" x14ac:dyDescent="0.25">
      <c r="B74" s="11">
        <v>4</v>
      </c>
      <c r="C74" s="31" t="s">
        <v>193</v>
      </c>
      <c r="D74" s="31"/>
      <c r="E74" s="31"/>
      <c r="F74" s="31"/>
    </row>
  </sheetData>
  <mergeCells count="37">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 ref="C72:F72"/>
    <mergeCell ref="C73:F73"/>
    <mergeCell ref="C74:F74"/>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8" t="s">
        <v>133</v>
      </c>
      <c r="C2" s="18"/>
      <c r="D2" s="18"/>
      <c r="E2" s="18"/>
      <c r="F2" s="18"/>
    </row>
    <row r="3" spans="2:6" x14ac:dyDescent="0.25">
      <c r="B3" s="19" t="s">
        <v>8</v>
      </c>
      <c r="C3" s="19"/>
      <c r="D3" s="19"/>
      <c r="E3" s="19"/>
      <c r="F3" s="19"/>
    </row>
    <row r="4" spans="2:6" x14ac:dyDescent="0.25">
      <c r="B4" s="20" t="s">
        <v>134</v>
      </c>
      <c r="C4" s="20"/>
      <c r="D4" s="20"/>
      <c r="E4" s="20"/>
      <c r="F4" s="20"/>
    </row>
    <row r="5" spans="2:2" x14ac:dyDescent="0.25">
      <c r="B5" s="36" t="s">
        <v>194</v>
      </c>
    </row>
    <row r="6" spans="3:11" x14ac:dyDescent="0.25">
      <c r="C6" s="21" t="s">
        <v>135</v>
      </c>
      <c r="D6" s="22">
        <f>D11+D16+D21</f>
        <v>0</v>
      </c>
      <c r="E6" s="22">
        <f>E11+E16+E21</f>
        <v>0</v>
      </c>
      <c r="F6" s="23" t="s">
        <v>136</v>
      </c>
      <c r="I6" s="21" t="s">
        <v>137</v>
      </c>
      <c r="J6" s="22">
        <f>J11+J16+J21</f>
        <v>0</v>
      </c>
      <c r="K6" s="22">
        <f>K11+K16+K21</f>
        <v>0</v>
      </c>
    </row>
    <row r="8" spans="2:11" x14ac:dyDescent="0.25">
      <c r="B8" s="24" t="s">
        <v>138</v>
      </c>
      <c r="C8" s="25" t="s">
        <v>139</v>
      </c>
      <c r="D8" s="26" t="s">
        <v>14</v>
      </c>
      <c r="E8" s="26" t="s">
        <v>15</v>
      </c>
      <c r="F8" s="24" t="s">
        <v>16</v>
      </c>
      <c r="G8" s="24" t="s">
        <v>93</v>
      </c>
      <c r="H8" s="24" t="s">
        <v>140</v>
      </c>
      <c r="I8" s="24" t="s">
        <v>141</v>
      </c>
      <c r="J8" s="24" t="s">
        <v>17</v>
      </c>
      <c r="K8" s="24" t="s">
        <v>18</v>
      </c>
    </row>
    <row r="9" spans="3:11" x14ac:dyDescent="0.25">
      <c r="C9" s="31" t="s">
        <v>183</v>
      </c>
      <c r="D9" s="32">
        <v>0</v>
      </c>
      <c r="E9" s="32">
        <v>0</v>
      </c>
      <c r="J9" s="16">
        <v>0</v>
      </c>
      <c r="K9" s="16">
        <v>0</v>
      </c>
    </row>
    <row r="11" spans="2:11" x14ac:dyDescent="0.25">
      <c r="B11" s="33" t="s">
        <v>43</v>
      </c>
      <c r="C11" s="33" t="s">
        <v>181</v>
      </c>
      <c r="D11" s="34">
        <f>D9</f>
        <v>0</v>
      </c>
      <c r="E11" s="34">
        <f>E9</f>
        <v>0</v>
      </c>
      <c r="F11" s="35" t="s">
        <v>43</v>
      </c>
      <c r="J11" s="17">
        <f>J9</f>
        <v>0</v>
      </c>
      <c r="K11" s="17">
        <f>K9</f>
        <v>0</v>
      </c>
    </row>
    <row r="14" spans="2:11" x14ac:dyDescent="0.25">
      <c r="B14" s="24" t="s">
        <v>138</v>
      </c>
      <c r="C14" s="25" t="s">
        <v>182</v>
      </c>
      <c r="D14" s="26" t="s">
        <v>14</v>
      </c>
      <c r="E14" s="26" t="s">
        <v>15</v>
      </c>
      <c r="F14" s="24" t="s">
        <v>16</v>
      </c>
      <c r="G14" s="24" t="s">
        <v>93</v>
      </c>
      <c r="H14" s="24" t="s">
        <v>140</v>
      </c>
      <c r="I14" s="24" t="s">
        <v>141</v>
      </c>
      <c r="J14" s="24" t="s">
        <v>17</v>
      </c>
      <c r="K14" s="24" t="s">
        <v>18</v>
      </c>
    </row>
    <row r="15" spans="2:11" x14ac:dyDescent="0.25">
      <c r="B15" s="11">
        <v>1</v>
      </c>
      <c r="C15" s="31" t="s">
        <v>183</v>
      </c>
      <c r="D15" s="32">
        <v>0</v>
      </c>
      <c r="E15" s="32">
        <v>0</v>
      </c>
      <c r="F15" s="9" t="s">
        <v>43</v>
      </c>
      <c r="J15" s="16">
        <v>0</v>
      </c>
      <c r="K15" s="16">
        <v>0</v>
      </c>
    </row>
    <row r="16" spans="2:11" x14ac:dyDescent="0.25">
      <c r="B16" s="33" t="s">
        <v>43</v>
      </c>
      <c r="C16" s="33" t="s">
        <v>184</v>
      </c>
      <c r="D16" s="34">
        <f>SUM(D15:D15)</f>
        <v>0</v>
      </c>
      <c r="E16" s="34">
        <f>SUM(E15:E15)</f>
        <v>0</v>
      </c>
      <c r="F16" s="35" t="s">
        <v>43</v>
      </c>
      <c r="J16" s="17">
        <f>SUM(J15:J15)</f>
        <v>0</v>
      </c>
      <c r="K16" s="17">
        <f>SUM(K15:K15)</f>
        <v>0</v>
      </c>
    </row>
    <row r="19" spans="2:11" x14ac:dyDescent="0.25">
      <c r="B19" s="24" t="s">
        <v>138</v>
      </c>
      <c r="C19" s="25" t="s">
        <v>185</v>
      </c>
      <c r="D19" s="26" t="s">
        <v>14</v>
      </c>
      <c r="E19" s="26" t="s">
        <v>15</v>
      </c>
      <c r="F19" s="24" t="s">
        <v>16</v>
      </c>
      <c r="G19" s="24" t="s">
        <v>93</v>
      </c>
      <c r="H19" s="24" t="s">
        <v>140</v>
      </c>
      <c r="I19" s="24" t="s">
        <v>141</v>
      </c>
      <c r="J19" s="24" t="s">
        <v>17</v>
      </c>
      <c r="K19" s="24" t="s">
        <v>18</v>
      </c>
    </row>
    <row r="20" spans="2:11" x14ac:dyDescent="0.25">
      <c r="B20" s="11">
        <v>1</v>
      </c>
      <c r="C20" s="31" t="s">
        <v>183</v>
      </c>
      <c r="D20" s="32">
        <v>0</v>
      </c>
      <c r="E20" s="32">
        <v>0</v>
      </c>
      <c r="F20" s="9" t="s">
        <v>186</v>
      </c>
      <c r="J20" s="16">
        <v>0</v>
      </c>
      <c r="K20" s="16">
        <v>0</v>
      </c>
    </row>
    <row r="21" spans="2:11" x14ac:dyDescent="0.25">
      <c r="B21" s="33" t="s">
        <v>43</v>
      </c>
      <c r="C21" s="33" t="s">
        <v>187</v>
      </c>
      <c r="D21" s="34">
        <f>SUM(D20:D20)</f>
        <v>0</v>
      </c>
      <c r="E21" s="34">
        <f>SUM(E20:E20)</f>
        <v>0</v>
      </c>
      <c r="F21" s="35" t="s">
        <v>43</v>
      </c>
      <c r="J21" s="17">
        <f>SUM(J20:J20)</f>
        <v>0</v>
      </c>
      <c r="K21" s="17">
        <f>SUM(K20:K20)</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0"/>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8" t="s">
        <v>133</v>
      </c>
      <c r="C2" s="18"/>
      <c r="D2" s="18"/>
      <c r="E2" s="18"/>
      <c r="F2" s="18"/>
    </row>
    <row r="3" spans="2:6" x14ac:dyDescent="0.25">
      <c r="B3" s="19" t="s">
        <v>8</v>
      </c>
      <c r="C3" s="19"/>
      <c r="D3" s="19"/>
      <c r="E3" s="19"/>
      <c r="F3" s="19"/>
    </row>
    <row r="4" spans="2:6" x14ac:dyDescent="0.25">
      <c r="B4" s="20" t="s">
        <v>134</v>
      </c>
      <c r="C4" s="20"/>
      <c r="D4" s="20"/>
      <c r="E4" s="20"/>
      <c r="F4" s="20"/>
    </row>
    <row r="6" spans="3:11" x14ac:dyDescent="0.25">
      <c r="C6" s="21" t="s">
        <v>135</v>
      </c>
      <c r="D6" s="22">
        <f>D25+D30+D35</f>
        <v>64.41</v>
      </c>
      <c r="E6" s="22">
        <f>E25+E30+E35</f>
        <v>107.6</v>
      </c>
      <c r="F6" s="23" t="s">
        <v>136</v>
      </c>
      <c r="I6" s="21" t="s">
        <v>137</v>
      </c>
      <c r="J6" s="22">
        <f>J25+J30+J35</f>
        <v>7.17</v>
      </c>
      <c r="K6" s="22">
        <f>K25+K30+K35</f>
        <v>24.15</v>
      </c>
    </row>
    <row r="8" spans="2:11" x14ac:dyDescent="0.25">
      <c r="B8" s="24" t="s">
        <v>138</v>
      </c>
      <c r="C8" s="25" t="s">
        <v>139</v>
      </c>
      <c r="D8" s="26" t="s">
        <v>14</v>
      </c>
      <c r="E8" s="26" t="s">
        <v>15</v>
      </c>
      <c r="F8" s="24" t="s">
        <v>16</v>
      </c>
      <c r="G8" s="24" t="s">
        <v>93</v>
      </c>
      <c r="H8" s="24" t="s">
        <v>140</v>
      </c>
      <c r="I8" s="24" t="s">
        <v>141</v>
      </c>
      <c r="J8" s="24" t="s">
        <v>17</v>
      </c>
      <c r="K8" s="24" t="s">
        <v>18</v>
      </c>
    </row>
    <row r="9" spans="2:11" x14ac:dyDescent="0.25">
      <c r="B9" s="27">
        <v>1</v>
      </c>
      <c r="C9" s="28" t="s">
        <v>142</v>
      </c>
      <c r="D9" s="29">
        <f>SUM(D10:D11)</f>
        <v>11.35</v>
      </c>
      <c r="E9" s="29">
        <f>SUM(E10:E11)</f>
        <v>21.5</v>
      </c>
      <c r="F9" s="30" t="s">
        <v>43</v>
      </c>
      <c r="J9" s="16">
        <f>SUM(J10:J11)</f>
        <v>1.37</v>
      </c>
      <c r="K9" s="16">
        <f>SUM(K10:K11)</f>
        <v>4.61</v>
      </c>
    </row>
    <row r="10" spans="2:11" x14ac:dyDescent="0.25">
      <c r="B10" s="11" t="s">
        <v>43</v>
      </c>
      <c r="C10" s="31" t="s">
        <v>195</v>
      </c>
      <c r="D10" s="32">
        <v>4.8</v>
      </c>
      <c r="E10" s="32">
        <v>8.4</v>
      </c>
      <c r="F10" s="9" t="s">
        <v>196</v>
      </c>
      <c r="G10" t="s">
        <v>98</v>
      </c>
      <c r="H10" t="s">
        <v>197</v>
      </c>
      <c r="I10" t="s">
        <v>198</v>
      </c>
      <c r="J10" s="16">
        <v>0.55</v>
      </c>
      <c r="K10" s="16">
        <v>1.85</v>
      </c>
    </row>
    <row r="11" spans="2:11" x14ac:dyDescent="0.25">
      <c r="B11" s="11" t="s">
        <v>43</v>
      </c>
      <c r="C11" s="31" t="s">
        <v>199</v>
      </c>
      <c r="D11" s="32">
        <v>6.55</v>
      </c>
      <c r="E11" s="32">
        <v>13.1</v>
      </c>
      <c r="F11" s="9" t="s">
        <v>200</v>
      </c>
      <c r="G11" t="s">
        <v>99</v>
      </c>
      <c r="H11" t="s">
        <v>43</v>
      </c>
      <c r="I11" t="s">
        <v>201</v>
      </c>
      <c r="J11" s="16">
        <v>0.82</v>
      </c>
      <c r="K11" s="16">
        <v>2.76</v>
      </c>
    </row>
    <row r="13" spans="2:11" x14ac:dyDescent="0.25">
      <c r="B13" s="27">
        <v>2</v>
      </c>
      <c r="C13" s="28" t="s">
        <v>146</v>
      </c>
      <c r="D13" s="29">
        <f>SUM(D14:D14)</f>
        <v>6</v>
      </c>
      <c r="E13" s="29">
        <f>SUM(E14:E14)</f>
        <v>10</v>
      </c>
      <c r="F13" s="30" t="s">
        <v>43</v>
      </c>
      <c r="J13" s="16">
        <f>SUM(J14:J14)</f>
        <v>0.67</v>
      </c>
      <c r="K13" s="16">
        <f>SUM(K14:K14)</f>
        <v>2.25</v>
      </c>
    </row>
    <row r="14" spans="2:11" x14ac:dyDescent="0.25">
      <c r="B14" s="11" t="s">
        <v>43</v>
      </c>
      <c r="C14" s="31" t="s">
        <v>202</v>
      </c>
      <c r="D14" s="32">
        <v>6</v>
      </c>
      <c r="E14" s="32">
        <v>10</v>
      </c>
      <c r="F14" s="9" t="s">
        <v>203</v>
      </c>
      <c r="G14" t="s">
        <v>98</v>
      </c>
      <c r="H14" t="s">
        <v>204</v>
      </c>
      <c r="I14" t="s">
        <v>205</v>
      </c>
      <c r="J14" s="16">
        <v>0.67</v>
      </c>
      <c r="K14" s="16">
        <v>2.25</v>
      </c>
    </row>
    <row r="16" spans="2:11" x14ac:dyDescent="0.25">
      <c r="B16" s="27">
        <v>3</v>
      </c>
      <c r="C16" s="28" t="s">
        <v>206</v>
      </c>
      <c r="D16" s="29">
        <f>SUM(D17:D19)</f>
        <v>31.66</v>
      </c>
      <c r="E16" s="29">
        <f>SUM(E17:E19)</f>
        <v>50.9</v>
      </c>
      <c r="F16" s="30" t="s">
        <v>43</v>
      </c>
      <c r="J16" s="16">
        <f>SUM(J17:J19)</f>
        <v>3.44</v>
      </c>
      <c r="K16" s="16">
        <f>SUM(K17:K19)</f>
        <v>11.59</v>
      </c>
    </row>
    <row r="17" spans="2:11" x14ac:dyDescent="0.25">
      <c r="B17" s="11" t="s">
        <v>43</v>
      </c>
      <c r="C17" s="31" t="s">
        <v>207</v>
      </c>
      <c r="D17" s="32">
        <v>7.02</v>
      </c>
      <c r="E17" s="32">
        <v>11.7</v>
      </c>
      <c r="F17" s="9" t="s">
        <v>208</v>
      </c>
      <c r="G17" t="s">
        <v>98</v>
      </c>
      <c r="H17" t="s">
        <v>209</v>
      </c>
      <c r="I17" t="s">
        <v>210</v>
      </c>
      <c r="J17" s="16">
        <v>0.78</v>
      </c>
      <c r="K17" s="16">
        <v>2.63</v>
      </c>
    </row>
    <row r="18" spans="2:11" x14ac:dyDescent="0.25">
      <c r="B18" s="11" t="s">
        <v>43</v>
      </c>
      <c r="C18" s="31" t="s">
        <v>211</v>
      </c>
      <c r="D18" s="32">
        <v>19.6</v>
      </c>
      <c r="E18" s="32">
        <v>30.8</v>
      </c>
      <c r="F18" s="9" t="s">
        <v>212</v>
      </c>
      <c r="G18" t="s">
        <v>98</v>
      </c>
      <c r="H18" t="s">
        <v>213</v>
      </c>
      <c r="I18" t="s">
        <v>214</v>
      </c>
      <c r="J18" s="16">
        <v>2.1</v>
      </c>
      <c r="K18" s="16">
        <v>7.07</v>
      </c>
    </row>
    <row r="19" spans="2:11" x14ac:dyDescent="0.25">
      <c r="B19" s="11" t="s">
        <v>43</v>
      </c>
      <c r="C19" s="31" t="s">
        <v>215</v>
      </c>
      <c r="D19" s="32">
        <v>5.04</v>
      </c>
      <c r="E19" s="32">
        <v>8.4</v>
      </c>
      <c r="F19" s="9" t="s">
        <v>216</v>
      </c>
      <c r="G19" t="s">
        <v>98</v>
      </c>
      <c r="H19" t="s">
        <v>217</v>
      </c>
      <c r="I19" t="s">
        <v>218</v>
      </c>
      <c r="J19" s="16">
        <v>0.56</v>
      </c>
      <c r="K19" s="16">
        <v>1.89</v>
      </c>
    </row>
    <row r="21" spans="2:11" x14ac:dyDescent="0.25">
      <c r="B21" s="27">
        <v>4</v>
      </c>
      <c r="C21" s="28" t="s">
        <v>164</v>
      </c>
      <c r="D21" s="29">
        <f>SUM(D22:D23)</f>
        <v>15.4</v>
      </c>
      <c r="E21" s="29">
        <f>SUM(E22:E23)</f>
        <v>25.2</v>
      </c>
      <c r="F21" s="30" t="s">
        <v>43</v>
      </c>
      <c r="J21" s="16">
        <f>SUM(J22:J23)</f>
        <v>1.69</v>
      </c>
      <c r="K21" s="16">
        <f>SUM(K22:K23)</f>
        <v>5.7</v>
      </c>
    </row>
    <row r="22" spans="2:11" x14ac:dyDescent="0.25">
      <c r="B22" s="11" t="s">
        <v>43</v>
      </c>
      <c r="C22" s="31" t="s">
        <v>219</v>
      </c>
      <c r="D22" s="32">
        <v>8.4</v>
      </c>
      <c r="E22" s="32">
        <v>14</v>
      </c>
      <c r="F22" s="9" t="s">
        <v>220</v>
      </c>
      <c r="G22" t="s">
        <v>98</v>
      </c>
      <c r="H22" t="s">
        <v>221</v>
      </c>
      <c r="I22" t="s">
        <v>222</v>
      </c>
      <c r="J22" s="16">
        <v>0.93</v>
      </c>
      <c r="K22" s="16">
        <v>3.14</v>
      </c>
    </row>
    <row r="23" spans="2:11" x14ac:dyDescent="0.25">
      <c r="B23" s="11" t="s">
        <v>43</v>
      </c>
      <c r="C23" s="31" t="s">
        <v>223</v>
      </c>
      <c r="D23" s="32">
        <v>7</v>
      </c>
      <c r="E23" s="32">
        <v>11.2</v>
      </c>
      <c r="F23" s="9" t="s">
        <v>224</v>
      </c>
      <c r="G23" t="s">
        <v>98</v>
      </c>
      <c r="H23" t="s">
        <v>225</v>
      </c>
      <c r="I23" t="s">
        <v>226</v>
      </c>
      <c r="J23" s="16">
        <v>0.76</v>
      </c>
      <c r="K23" s="16">
        <v>2.56</v>
      </c>
    </row>
    <row r="25" spans="2:11" x14ac:dyDescent="0.25">
      <c r="B25" s="33" t="s">
        <v>43</v>
      </c>
      <c r="C25" s="33" t="s">
        <v>181</v>
      </c>
      <c r="D25" s="34">
        <f>D9+D13+D16+D21</f>
        <v>64.41</v>
      </c>
      <c r="E25" s="34">
        <f>E9+E13+E16+E21</f>
        <v>107.6</v>
      </c>
      <c r="F25" s="35" t="s">
        <v>43</v>
      </c>
      <c r="J25" s="17">
        <f>J9+J13+J16+J21</f>
        <v>7.17</v>
      </c>
      <c r="K25" s="17">
        <f>K9+K13+K16+K21</f>
        <v>24.15</v>
      </c>
    </row>
    <row r="28" spans="2:11" x14ac:dyDescent="0.25">
      <c r="B28" s="24" t="s">
        <v>138</v>
      </c>
      <c r="C28" s="25" t="s">
        <v>182</v>
      </c>
      <c r="D28" s="26" t="s">
        <v>14</v>
      </c>
      <c r="E28" s="26" t="s">
        <v>15</v>
      </c>
      <c r="F28" s="24" t="s">
        <v>16</v>
      </c>
      <c r="G28" s="24" t="s">
        <v>93</v>
      </c>
      <c r="H28" s="24" t="s">
        <v>140</v>
      </c>
      <c r="I28" s="24" t="s">
        <v>141</v>
      </c>
      <c r="J28" s="24" t="s">
        <v>17</v>
      </c>
      <c r="K28" s="24" t="s">
        <v>18</v>
      </c>
    </row>
    <row r="29" spans="2:11" x14ac:dyDescent="0.25">
      <c r="B29" s="11">
        <v>1</v>
      </c>
      <c r="C29" s="31" t="s">
        <v>183</v>
      </c>
      <c r="D29" s="32">
        <v>0</v>
      </c>
      <c r="E29" s="32">
        <v>0</v>
      </c>
      <c r="F29" s="9" t="s">
        <v>43</v>
      </c>
      <c r="J29" s="16">
        <v>0</v>
      </c>
      <c r="K29" s="16">
        <v>0</v>
      </c>
    </row>
    <row r="30" spans="2:11" x14ac:dyDescent="0.25">
      <c r="B30" s="33" t="s">
        <v>43</v>
      </c>
      <c r="C30" s="33" t="s">
        <v>184</v>
      </c>
      <c r="D30" s="34">
        <f>SUM(D29:D29)</f>
        <v>0</v>
      </c>
      <c r="E30" s="34">
        <f>SUM(E29:E29)</f>
        <v>0</v>
      </c>
      <c r="F30" s="35" t="s">
        <v>43</v>
      </c>
      <c r="J30" s="17">
        <f>SUM(J29:J29)</f>
        <v>0</v>
      </c>
      <c r="K30" s="17">
        <f>SUM(K29:K29)</f>
        <v>0</v>
      </c>
    </row>
    <row r="33" spans="2:11" x14ac:dyDescent="0.25">
      <c r="B33" s="24" t="s">
        <v>138</v>
      </c>
      <c r="C33" s="25" t="s">
        <v>185</v>
      </c>
      <c r="D33" s="26" t="s">
        <v>14</v>
      </c>
      <c r="E33" s="26" t="s">
        <v>15</v>
      </c>
      <c r="F33" s="24" t="s">
        <v>16</v>
      </c>
      <c r="G33" s="24" t="s">
        <v>93</v>
      </c>
      <c r="H33" s="24" t="s">
        <v>140</v>
      </c>
      <c r="I33" s="24" t="s">
        <v>141</v>
      </c>
      <c r="J33" s="24" t="s">
        <v>17</v>
      </c>
      <c r="K33" s="24" t="s">
        <v>18</v>
      </c>
    </row>
    <row r="34" spans="2:11" x14ac:dyDescent="0.25">
      <c r="B34" s="11">
        <v>1</v>
      </c>
      <c r="C34" s="31" t="s">
        <v>183</v>
      </c>
      <c r="D34" s="32">
        <v>0</v>
      </c>
      <c r="E34" s="32">
        <v>0</v>
      </c>
      <c r="F34" s="9" t="s">
        <v>186</v>
      </c>
      <c r="J34" s="16">
        <v>0</v>
      </c>
      <c r="K34" s="16">
        <v>0</v>
      </c>
    </row>
    <row r="35" spans="2:11" x14ac:dyDescent="0.25">
      <c r="B35" s="33" t="s">
        <v>43</v>
      </c>
      <c r="C35" s="33" t="s">
        <v>187</v>
      </c>
      <c r="D35" s="34">
        <f>SUM(D34:D34)</f>
        <v>0</v>
      </c>
      <c r="E35" s="34">
        <f>SUM(E34:E34)</f>
        <v>0</v>
      </c>
      <c r="F35" s="35" t="s">
        <v>43</v>
      </c>
      <c r="J35" s="17">
        <f>SUM(J34:J34)</f>
        <v>0</v>
      </c>
      <c r="K35" s="17">
        <f>SUM(K34:K34)</f>
        <v>0</v>
      </c>
    </row>
    <row r="38" spans="2:6" x14ac:dyDescent="0.25">
      <c r="B38" s="24" t="s">
        <v>138</v>
      </c>
      <c r="C38" s="25" t="s">
        <v>188</v>
      </c>
      <c r="D38" s="25"/>
      <c r="E38" s="25"/>
      <c r="F38" s="25"/>
    </row>
    <row r="39" spans="2:6" x14ac:dyDescent="0.25">
      <c r="B39" s="11">
        <v>1</v>
      </c>
      <c r="C39" s="31" t="s">
        <v>105</v>
      </c>
      <c r="D39" s="31"/>
      <c r="E39" s="31"/>
      <c r="F39" s="31"/>
    </row>
    <row r="40" spans="2:6" x14ac:dyDescent="0.25">
      <c r="B40" s="11">
        <v>2</v>
      </c>
      <c r="C40" s="31" t="s">
        <v>106</v>
      </c>
      <c r="D40" s="31"/>
      <c r="E40" s="31"/>
      <c r="F40" s="31"/>
    </row>
    <row r="41" spans="2:6" x14ac:dyDescent="0.25">
      <c r="B41" s="11">
        <v>3</v>
      </c>
      <c r="C41" s="31" t="s">
        <v>107</v>
      </c>
      <c r="D41" s="31"/>
      <c r="E41" s="31"/>
      <c r="F41" s="31"/>
    </row>
    <row r="42" spans="2:6" x14ac:dyDescent="0.25">
      <c r="B42" s="11">
        <v>4</v>
      </c>
      <c r="C42" s="31" t="s">
        <v>108</v>
      </c>
      <c r="D42" s="31"/>
      <c r="E42" s="31"/>
      <c r="F42" s="31"/>
    </row>
    <row r="43" spans="2:6" x14ac:dyDescent="0.25">
      <c r="B43" s="11">
        <v>5</v>
      </c>
      <c r="C43" s="31" t="s">
        <v>109</v>
      </c>
      <c r="D43" s="31"/>
      <c r="E43" s="31"/>
      <c r="F43" s="31"/>
    </row>
    <row r="44" spans="2:6" x14ac:dyDescent="0.25">
      <c r="B44" s="11">
        <v>6</v>
      </c>
      <c r="C44" s="31" t="s">
        <v>110</v>
      </c>
      <c r="D44" s="31"/>
      <c r="E44" s="31"/>
      <c r="F44" s="31"/>
    </row>
    <row r="45" spans="2:6" x14ac:dyDescent="0.25">
      <c r="B45" s="11">
        <v>7</v>
      </c>
      <c r="C45" s="31" t="s">
        <v>111</v>
      </c>
      <c r="D45" s="31"/>
      <c r="E45" s="31"/>
      <c r="F45" s="31"/>
    </row>
    <row r="46" spans="2:6" x14ac:dyDescent="0.25">
      <c r="B46" s="11">
        <v>8</v>
      </c>
      <c r="C46" s="31" t="s">
        <v>112</v>
      </c>
      <c r="D46" s="31"/>
      <c r="E46" s="31"/>
      <c r="F46" s="31"/>
    </row>
    <row r="47" spans="2:6" x14ac:dyDescent="0.25">
      <c r="B47" s="11">
        <v>9</v>
      </c>
      <c r="C47" s="31" t="s">
        <v>113</v>
      </c>
      <c r="D47" s="31"/>
      <c r="E47" s="31"/>
      <c r="F47" s="31"/>
    </row>
    <row r="48" spans="2:6" x14ac:dyDescent="0.25">
      <c r="B48" s="11">
        <v>10</v>
      </c>
      <c r="C48" s="31" t="s">
        <v>114</v>
      </c>
      <c r="D48" s="31"/>
      <c r="E48" s="31"/>
      <c r="F48" s="31"/>
    </row>
    <row r="49" spans="2:6" x14ac:dyDescent="0.25">
      <c r="B49" s="11">
        <v>11</v>
      </c>
      <c r="C49" s="31" t="s">
        <v>115</v>
      </c>
      <c r="D49" s="31"/>
      <c r="E49" s="31"/>
      <c r="F49" s="31"/>
    </row>
    <row r="50" spans="2:6" x14ac:dyDescent="0.25">
      <c r="B50" s="11">
        <v>12</v>
      </c>
      <c r="C50" s="31" t="s">
        <v>116</v>
      </c>
      <c r="D50" s="31"/>
      <c r="E50" s="31"/>
      <c r="F50" s="31"/>
    </row>
    <row r="51" spans="2:6" x14ac:dyDescent="0.25">
      <c r="B51" s="11">
        <v>13</v>
      </c>
      <c r="C51" s="31" t="s">
        <v>117</v>
      </c>
      <c r="D51" s="31"/>
      <c r="E51" s="31"/>
      <c r="F51" s="31"/>
    </row>
    <row r="52" spans="2:6" x14ac:dyDescent="0.25">
      <c r="B52" s="11">
        <v>14</v>
      </c>
      <c r="C52" s="31" t="s">
        <v>118</v>
      </c>
      <c r="D52" s="31"/>
      <c r="E52" s="31"/>
      <c r="F52" s="31"/>
    </row>
    <row r="53" spans="2:6" x14ac:dyDescent="0.25">
      <c r="B53" s="11">
        <v>15</v>
      </c>
      <c r="C53" s="31" t="s">
        <v>119</v>
      </c>
      <c r="D53" s="31"/>
      <c r="E53" s="31"/>
      <c r="F53" s="31"/>
    </row>
    <row r="54" spans="2:6" x14ac:dyDescent="0.25">
      <c r="B54" s="11">
        <v>16</v>
      </c>
      <c r="C54" s="31" t="s">
        <v>120</v>
      </c>
      <c r="D54" s="31"/>
      <c r="E54" s="31"/>
      <c r="F54" s="31"/>
    </row>
    <row r="55" spans="2:6" x14ac:dyDescent="0.25">
      <c r="B55" s="11">
        <v>17</v>
      </c>
      <c r="C55" s="31" t="s">
        <v>121</v>
      </c>
      <c r="D55" s="31"/>
      <c r="E55" s="31"/>
      <c r="F55" s="31"/>
    </row>
    <row r="56" spans="2:6" x14ac:dyDescent="0.25">
      <c r="B56" s="11">
        <v>18</v>
      </c>
      <c r="C56" s="31" t="s">
        <v>122</v>
      </c>
      <c r="D56" s="31"/>
      <c r="E56" s="31"/>
      <c r="F56" s="31"/>
    </row>
    <row r="57" spans="2:6" x14ac:dyDescent="0.25">
      <c r="B57" s="11">
        <v>19</v>
      </c>
      <c r="C57" s="31" t="s">
        <v>123</v>
      </c>
      <c r="D57" s="31"/>
      <c r="E57" s="31"/>
      <c r="F57" s="31"/>
    </row>
    <row r="58" spans="2:6" x14ac:dyDescent="0.25">
      <c r="B58" s="11">
        <v>20</v>
      </c>
      <c r="C58" s="31" t="s">
        <v>124</v>
      </c>
      <c r="D58" s="31"/>
      <c r="E58" s="31"/>
      <c r="F58" s="31"/>
    </row>
    <row r="59" spans="2:6" x14ac:dyDescent="0.25">
      <c r="B59" s="11">
        <v>21</v>
      </c>
      <c r="C59" s="31" t="s">
        <v>125</v>
      </c>
      <c r="D59" s="31"/>
      <c r="E59" s="31"/>
      <c r="F59" s="31"/>
    </row>
    <row r="60" spans="2:6" x14ac:dyDescent="0.25">
      <c r="B60" s="11">
        <v>22</v>
      </c>
      <c r="C60" s="31" t="s">
        <v>126</v>
      </c>
      <c r="D60" s="31"/>
      <c r="E60" s="31"/>
      <c r="F60" s="31"/>
    </row>
    <row r="61" spans="2:6" x14ac:dyDescent="0.25">
      <c r="B61" s="11">
        <v>23</v>
      </c>
      <c r="C61" s="31" t="s">
        <v>127</v>
      </c>
      <c r="D61" s="31"/>
      <c r="E61" s="31"/>
      <c r="F61" s="31"/>
    </row>
    <row r="62" spans="2:6" x14ac:dyDescent="0.25">
      <c r="B62" s="11">
        <v>24</v>
      </c>
      <c r="C62" s="31" t="s">
        <v>128</v>
      </c>
      <c r="D62" s="31"/>
      <c r="E62" s="31"/>
      <c r="F62" s="31"/>
    </row>
    <row r="63" spans="2:6" x14ac:dyDescent="0.25">
      <c r="B63" s="11">
        <v>25</v>
      </c>
      <c r="C63" s="31" t="s">
        <v>129</v>
      </c>
      <c r="D63" s="31"/>
      <c r="E63" s="31"/>
      <c r="F63" s="31"/>
    </row>
    <row r="64" spans="2:6" x14ac:dyDescent="0.25">
      <c r="B64" s="11">
        <v>26</v>
      </c>
      <c r="C64" s="31" t="s">
        <v>130</v>
      </c>
      <c r="D64" s="31"/>
      <c r="E64" s="31"/>
      <c r="F64" s="31"/>
    </row>
    <row r="65" spans="2:6" x14ac:dyDescent="0.25">
      <c r="B65" s="11">
        <v>27</v>
      </c>
      <c r="C65" s="31" t="s">
        <v>131</v>
      </c>
      <c r="D65" s="31"/>
      <c r="E65" s="31"/>
      <c r="F65" s="31"/>
    </row>
    <row r="66" spans="2:6" x14ac:dyDescent="0.25">
      <c r="B66" s="11">
        <v>28</v>
      </c>
      <c r="C66" s="31" t="s">
        <v>132</v>
      </c>
      <c r="D66" s="31"/>
      <c r="E66" s="31"/>
      <c r="F66" s="31"/>
    </row>
    <row r="69" spans="2:6" x14ac:dyDescent="0.25">
      <c r="B69" s="24" t="s">
        <v>138</v>
      </c>
      <c r="C69" s="25" t="s">
        <v>189</v>
      </c>
      <c r="D69" s="25"/>
      <c r="E69" s="25"/>
      <c r="F69" s="25"/>
    </row>
    <row r="70" spans="2:6" x14ac:dyDescent="0.25">
      <c r="B70" s="11">
        <v>1</v>
      </c>
      <c r="C70" s="31" t="s">
        <v>190</v>
      </c>
      <c r="D70" s="31"/>
      <c r="E70" s="31"/>
      <c r="F70" s="31"/>
    </row>
  </sheetData>
  <mergeCells count="34">
    <mergeCell ref="B2:F2"/>
    <mergeCell ref="B3:F3"/>
    <mergeCell ref="B4:F4"/>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9:F69"/>
    <mergeCell ref="C70:F7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64"/>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9" max="9" width="13" customWidth="1"/>
    <col min="10" max="11" width="12" customWidth="1"/>
    <col min="12" max="26" width="7.75" customWidth="1"/>
  </cols>
  <sheetData>
    <row r="2" spans="2:6" x14ac:dyDescent="0.25">
      <c r="B2" s="18" t="s">
        <v>227</v>
      </c>
      <c r="C2" s="18"/>
      <c r="D2" s="18"/>
      <c r="E2" s="18"/>
      <c r="F2" s="18"/>
    </row>
    <row r="3" spans="2:6" x14ac:dyDescent="0.25">
      <c r="B3" s="19" t="s">
        <v>8</v>
      </c>
      <c r="C3" s="19"/>
      <c r="D3" s="19"/>
      <c r="E3" s="19"/>
      <c r="F3" s="19"/>
    </row>
    <row r="4" spans="2:6" x14ac:dyDescent="0.25">
      <c r="B4" s="20" t="s">
        <v>134</v>
      </c>
      <c r="C4" s="20"/>
      <c r="D4" s="20"/>
      <c r="E4" s="20"/>
      <c r="F4" s="20"/>
    </row>
    <row r="6" spans="3:11" x14ac:dyDescent="0.25">
      <c r="C6" s="21" t="s">
        <v>228</v>
      </c>
      <c r="D6" s="22">
        <f>D23</f>
        <v>22.9</v>
      </c>
      <c r="E6" s="22">
        <f>E23</f>
        <v>43.8</v>
      </c>
      <c r="F6" s="23" t="s">
        <v>229</v>
      </c>
      <c r="I6" s="21" t="s">
        <v>137</v>
      </c>
      <c r="J6" s="22">
        <f>J23</f>
        <v>2.28</v>
      </c>
      <c r="K6" s="22">
        <f>K23</f>
        <v>7.67</v>
      </c>
    </row>
    <row r="8" spans="2:11" x14ac:dyDescent="0.25">
      <c r="B8" s="24" t="s">
        <v>138</v>
      </c>
      <c r="C8" s="25" t="s">
        <v>230</v>
      </c>
      <c r="D8" s="26" t="s">
        <v>14</v>
      </c>
      <c r="E8" s="26" t="s">
        <v>15</v>
      </c>
      <c r="F8" s="24" t="s">
        <v>16</v>
      </c>
      <c r="G8" s="24" t="s">
        <v>93</v>
      </c>
      <c r="H8" s="24" t="s">
        <v>140</v>
      </c>
      <c r="I8" s="24" t="s">
        <v>141</v>
      </c>
      <c r="J8" s="24" t="s">
        <v>17</v>
      </c>
      <c r="K8" s="24" t="s">
        <v>18</v>
      </c>
    </row>
    <row r="9" spans="2:11" x14ac:dyDescent="0.25">
      <c r="B9" s="27">
        <v>1</v>
      </c>
      <c r="C9" s="28" t="s">
        <v>231</v>
      </c>
      <c r="D9" s="29">
        <v>0</v>
      </c>
      <c r="E9" s="29">
        <v>0</v>
      </c>
      <c r="F9" s="30" t="s">
        <v>232</v>
      </c>
      <c r="J9" s="16">
        <v>0</v>
      </c>
      <c r="K9" s="16">
        <v>0</v>
      </c>
    </row>
    <row r="10" spans="2:11" x14ac:dyDescent="0.25">
      <c r="B10" s="27">
        <v>2</v>
      </c>
      <c r="C10" s="28" t="s">
        <v>233</v>
      </c>
      <c r="D10" s="29">
        <v>0</v>
      </c>
      <c r="E10" s="29">
        <v>0</v>
      </c>
      <c r="F10" s="30" t="s">
        <v>234</v>
      </c>
      <c r="J10" s="16">
        <v>0</v>
      </c>
      <c r="K10" s="16">
        <v>0</v>
      </c>
    </row>
    <row r="11" spans="2:11" x14ac:dyDescent="0.25">
      <c r="B11" s="27">
        <v>3</v>
      </c>
      <c r="C11" s="28" t="s">
        <v>235</v>
      </c>
      <c r="D11" s="29">
        <f>SUM(D12:D14)</f>
        <v>9</v>
      </c>
      <c r="E11" s="29">
        <f>SUM(E12:E14)</f>
        <v>18</v>
      </c>
      <c r="F11" s="30" t="s">
        <v>236</v>
      </c>
      <c r="J11" s="16">
        <f>SUM(J12:J14)</f>
        <v>1.12</v>
      </c>
      <c r="K11" s="16">
        <f>SUM(K12:K14)</f>
        <v>3.78</v>
      </c>
    </row>
    <row r="12" spans="2:11" x14ac:dyDescent="0.25">
      <c r="B12" s="11" t="s">
        <v>43</v>
      </c>
      <c r="C12" s="31" t="s">
        <v>237</v>
      </c>
      <c r="D12" s="32">
        <v>3</v>
      </c>
      <c r="E12" s="32">
        <v>6</v>
      </c>
      <c r="F12" s="9" t="s">
        <v>238</v>
      </c>
      <c r="G12" t="s">
        <v>98</v>
      </c>
      <c r="H12" t="s">
        <v>239</v>
      </c>
      <c r="I12" t="s">
        <v>240</v>
      </c>
      <c r="J12" s="16">
        <v>0.38</v>
      </c>
      <c r="K12" s="16">
        <v>1.26</v>
      </c>
    </row>
    <row r="13" spans="2:11" x14ac:dyDescent="0.25">
      <c r="B13" s="11" t="s">
        <v>43</v>
      </c>
      <c r="C13" s="31" t="s">
        <v>241</v>
      </c>
      <c r="D13" s="32">
        <v>3</v>
      </c>
      <c r="E13" s="32">
        <v>6</v>
      </c>
      <c r="F13" s="9" t="s">
        <v>242</v>
      </c>
      <c r="G13" t="s">
        <v>98</v>
      </c>
      <c r="H13" t="s">
        <v>243</v>
      </c>
      <c r="I13" t="s">
        <v>244</v>
      </c>
      <c r="J13" s="16">
        <v>0.37</v>
      </c>
      <c r="K13" s="16">
        <v>1.26</v>
      </c>
    </row>
    <row r="14" spans="2:11" x14ac:dyDescent="0.25">
      <c r="B14" s="11" t="s">
        <v>43</v>
      </c>
      <c r="C14" s="31" t="s">
        <v>245</v>
      </c>
      <c r="D14" s="32">
        <v>3</v>
      </c>
      <c r="E14" s="32">
        <v>6</v>
      </c>
      <c r="F14" s="9" t="s">
        <v>246</v>
      </c>
      <c r="G14" t="s">
        <v>98</v>
      </c>
      <c r="H14" t="s">
        <v>247</v>
      </c>
      <c r="I14" t="s">
        <v>248</v>
      </c>
      <c r="J14" s="16">
        <v>0.37</v>
      </c>
      <c r="K14" s="16">
        <v>1.26</v>
      </c>
    </row>
    <row r="15" spans="2:11" x14ac:dyDescent="0.25">
      <c r="B15" s="27">
        <v>4</v>
      </c>
      <c r="C15" s="28" t="s">
        <v>249</v>
      </c>
      <c r="D15" s="29">
        <f>SUM(D16:D16)</f>
        <v>6</v>
      </c>
      <c r="E15" s="29">
        <f>SUM(E16:E16)</f>
        <v>10</v>
      </c>
      <c r="F15" s="30" t="s">
        <v>250</v>
      </c>
      <c r="J15" s="16">
        <f>SUM(J16:J16)</f>
        <v>0.67</v>
      </c>
      <c r="K15" s="16">
        <f>SUM(K16:K16)</f>
        <v>2.25</v>
      </c>
    </row>
    <row r="16" spans="3:11" x14ac:dyDescent="0.25">
      <c r="C16" s="31" t="s">
        <v>251</v>
      </c>
      <c r="D16" s="32">
        <f>D29</f>
        <v>6</v>
      </c>
      <c r="E16" s="32">
        <f>E29</f>
        <v>10</v>
      </c>
      <c r="J16" s="16">
        <f>J29</f>
        <v>0.67</v>
      </c>
      <c r="K16" s="16">
        <f>K29</f>
        <v>2.25</v>
      </c>
    </row>
    <row r="17" spans="2:11" x14ac:dyDescent="0.25">
      <c r="B17" s="27">
        <v>5</v>
      </c>
      <c r="C17" s="28" t="s">
        <v>252</v>
      </c>
      <c r="D17" s="29">
        <v>0</v>
      </c>
      <c r="E17" s="29">
        <v>0</v>
      </c>
      <c r="F17" s="30" t="s">
        <v>253</v>
      </c>
      <c r="J17" s="16">
        <v>0</v>
      </c>
      <c r="K17" s="16">
        <v>0</v>
      </c>
    </row>
    <row r="18" spans="2:11" x14ac:dyDescent="0.25">
      <c r="B18" s="27">
        <v>6</v>
      </c>
      <c r="C18" s="28" t="s">
        <v>254</v>
      </c>
      <c r="D18" s="29">
        <f>SUM(D19:D19)</f>
        <v>3.9</v>
      </c>
      <c r="E18" s="29">
        <f>SUM(E19:E19)</f>
        <v>7.8</v>
      </c>
      <c r="F18" s="30" t="s">
        <v>255</v>
      </c>
      <c r="J18" s="16">
        <f>SUM(J19:J19)</f>
        <v>0.49</v>
      </c>
      <c r="K18" s="16">
        <f>SUM(K19:K19)</f>
        <v>1.64</v>
      </c>
    </row>
    <row r="19" spans="2:11" x14ac:dyDescent="0.25">
      <c r="B19" s="11" t="s">
        <v>43</v>
      </c>
      <c r="C19" s="31" t="s">
        <v>256</v>
      </c>
      <c r="D19" s="32">
        <v>3.9</v>
      </c>
      <c r="E19" s="32">
        <v>7.8</v>
      </c>
      <c r="F19" s="9" t="s">
        <v>257</v>
      </c>
      <c r="G19" t="s">
        <v>98</v>
      </c>
      <c r="H19" t="s">
        <v>258</v>
      </c>
      <c r="I19" t="s">
        <v>259</v>
      </c>
      <c r="J19" s="16">
        <v>0.49</v>
      </c>
      <c r="K19" s="16">
        <v>1.64</v>
      </c>
    </row>
    <row r="20" spans="2:11" x14ac:dyDescent="0.25">
      <c r="B20" s="27">
        <v>7</v>
      </c>
      <c r="C20" s="28" t="s">
        <v>260</v>
      </c>
      <c r="D20" s="29">
        <f>SUM(D21:D21)</f>
        <v>4</v>
      </c>
      <c r="E20" s="29">
        <f>SUM(E21:E21)</f>
        <v>8</v>
      </c>
      <c r="F20" s="30" t="s">
        <v>261</v>
      </c>
      <c r="J20" s="16">
        <f>SUM(J21:J21)</f>
        <v>0</v>
      </c>
      <c r="K20" s="16">
        <f>SUM(K21:K21)</f>
        <v>0</v>
      </c>
    </row>
    <row r="21" spans="2:11" x14ac:dyDescent="0.25">
      <c r="B21" s="11" t="s">
        <v>43</v>
      </c>
      <c r="C21" s="31" t="s">
        <v>262</v>
      </c>
      <c r="D21" s="32">
        <v>4</v>
      </c>
      <c r="E21" s="32">
        <v>8</v>
      </c>
      <c r="F21" s="9" t="s">
        <v>263</v>
      </c>
      <c r="G21" t="s">
        <v>100</v>
      </c>
      <c r="H21" t="s">
        <v>43</v>
      </c>
      <c r="I21" t="s">
        <v>264</v>
      </c>
      <c r="J21" s="16">
        <v>0</v>
      </c>
      <c r="K21" s="16">
        <v>0</v>
      </c>
    </row>
    <row r="22" spans="2:11" x14ac:dyDescent="0.25">
      <c r="B22" s="27">
        <v>8</v>
      </c>
      <c r="C22" s="28" t="s">
        <v>265</v>
      </c>
      <c r="D22" s="29">
        <v>0</v>
      </c>
      <c r="E22" s="29">
        <v>0</v>
      </c>
      <c r="F22" s="30" t="s">
        <v>266</v>
      </c>
      <c r="J22" s="16">
        <v>0</v>
      </c>
      <c r="K22" s="16">
        <v>0</v>
      </c>
    </row>
    <row r="23" spans="2:11" x14ac:dyDescent="0.25">
      <c r="B23" s="33" t="s">
        <v>43</v>
      </c>
      <c r="C23" s="33" t="s">
        <v>267</v>
      </c>
      <c r="D23" s="34">
        <f>D9+D10+D11+D15+D17+D18+D20+D22</f>
        <v>22.9</v>
      </c>
      <c r="E23" s="34">
        <f>E9+E10+E11+E15+E17+E18+E20+E22</f>
        <v>43.8</v>
      </c>
      <c r="F23" s="35" t="s">
        <v>268</v>
      </c>
      <c r="J23" s="17">
        <f>J9+J10+J11+J15+J17+J18+J20+J22</f>
        <v>2.28</v>
      </c>
      <c r="K23" s="17">
        <f>K9+K10+K11+K15+K17+K18+K20+K22</f>
        <v>7.67</v>
      </c>
    </row>
    <row r="26" spans="2:11" x14ac:dyDescent="0.25">
      <c r="B26" s="24" t="s">
        <v>138</v>
      </c>
      <c r="C26" s="25" t="s">
        <v>269</v>
      </c>
      <c r="D26" s="26" t="s">
        <v>14</v>
      </c>
      <c r="E26" s="26" t="s">
        <v>15</v>
      </c>
      <c r="F26" s="24" t="s">
        <v>16</v>
      </c>
      <c r="G26" s="24" t="s">
        <v>93</v>
      </c>
      <c r="H26" s="24" t="s">
        <v>140</v>
      </c>
      <c r="I26" s="24" t="s">
        <v>141</v>
      </c>
      <c r="J26" s="24" t="s">
        <v>17</v>
      </c>
      <c r="K26" s="24" t="s">
        <v>18</v>
      </c>
    </row>
    <row r="27" spans="3:3" x14ac:dyDescent="0.25">
      <c r="C27" s="28" t="s">
        <v>251</v>
      </c>
    </row>
    <row r="28" spans="2:11" x14ac:dyDescent="0.25">
      <c r="B28" s="11">
        <v>1</v>
      </c>
      <c r="C28" s="31" t="s">
        <v>270</v>
      </c>
      <c r="D28" s="32">
        <v>6</v>
      </c>
      <c r="E28" s="32">
        <v>10</v>
      </c>
      <c r="F28" s="9" t="s">
        <v>271</v>
      </c>
      <c r="G28" t="s">
        <v>98</v>
      </c>
      <c r="H28" t="s">
        <v>272</v>
      </c>
      <c r="I28" t="s">
        <v>273</v>
      </c>
      <c r="J28" s="16">
        <v>0.67</v>
      </c>
      <c r="K28" s="16">
        <v>2.25</v>
      </c>
    </row>
    <row r="29" spans="2:11" x14ac:dyDescent="0.25">
      <c r="B29" s="33" t="s">
        <v>43</v>
      </c>
      <c r="C29" s="33" t="s">
        <v>274</v>
      </c>
      <c r="D29" s="34">
        <f>D28</f>
        <v>6</v>
      </c>
      <c r="E29" s="34">
        <f>E28</f>
        <v>10</v>
      </c>
      <c r="F29" s="35" t="s">
        <v>275</v>
      </c>
      <c r="J29" s="17">
        <f>J28</f>
        <v>0.67</v>
      </c>
      <c r="K29" s="17">
        <f>K28</f>
        <v>2.25</v>
      </c>
    </row>
    <row r="32" spans="2:6" x14ac:dyDescent="0.25">
      <c r="B32" s="24" t="s">
        <v>138</v>
      </c>
      <c r="C32" s="25" t="s">
        <v>188</v>
      </c>
      <c r="D32" s="25"/>
      <c r="E32" s="25"/>
      <c r="F32" s="25"/>
    </row>
    <row r="33" spans="2:6" x14ac:dyDescent="0.25">
      <c r="B33" s="11">
        <v>1</v>
      </c>
      <c r="C33" s="31" t="s">
        <v>105</v>
      </c>
      <c r="D33" s="31"/>
      <c r="E33" s="31"/>
      <c r="F33" s="31"/>
    </row>
    <row r="34" spans="2:6" x14ac:dyDescent="0.25">
      <c r="B34" s="11">
        <v>2</v>
      </c>
      <c r="C34" s="31" t="s">
        <v>106</v>
      </c>
      <c r="D34" s="31"/>
      <c r="E34" s="31"/>
      <c r="F34" s="31"/>
    </row>
    <row r="35" spans="2:6" x14ac:dyDescent="0.25">
      <c r="B35" s="11">
        <v>3</v>
      </c>
      <c r="C35" s="31" t="s">
        <v>107</v>
      </c>
      <c r="D35" s="31"/>
      <c r="E35" s="31"/>
      <c r="F35" s="31"/>
    </row>
    <row r="36" spans="2:6" x14ac:dyDescent="0.25">
      <c r="B36" s="11">
        <v>4</v>
      </c>
      <c r="C36" s="31" t="s">
        <v>108</v>
      </c>
      <c r="D36" s="31"/>
      <c r="E36" s="31"/>
      <c r="F36" s="31"/>
    </row>
    <row r="37" spans="2:6" x14ac:dyDescent="0.25">
      <c r="B37" s="11">
        <v>5</v>
      </c>
      <c r="C37" s="31" t="s">
        <v>109</v>
      </c>
      <c r="D37" s="31"/>
      <c r="E37" s="31"/>
      <c r="F37" s="31"/>
    </row>
    <row r="38" spans="2:6" x14ac:dyDescent="0.25">
      <c r="B38" s="11">
        <v>6</v>
      </c>
      <c r="C38" s="31" t="s">
        <v>110</v>
      </c>
      <c r="D38" s="31"/>
      <c r="E38" s="31"/>
      <c r="F38" s="31"/>
    </row>
    <row r="39" spans="2:6" x14ac:dyDescent="0.25">
      <c r="B39" s="11">
        <v>7</v>
      </c>
      <c r="C39" s="31" t="s">
        <v>111</v>
      </c>
      <c r="D39" s="31"/>
      <c r="E39" s="31"/>
      <c r="F39" s="31"/>
    </row>
    <row r="40" spans="2:6" x14ac:dyDescent="0.25">
      <c r="B40" s="11">
        <v>8</v>
      </c>
      <c r="C40" s="31" t="s">
        <v>112</v>
      </c>
      <c r="D40" s="31"/>
      <c r="E40" s="31"/>
      <c r="F40" s="31"/>
    </row>
    <row r="41" spans="2:6" x14ac:dyDescent="0.25">
      <c r="B41" s="11">
        <v>9</v>
      </c>
      <c r="C41" s="31" t="s">
        <v>113</v>
      </c>
      <c r="D41" s="31"/>
      <c r="E41" s="31"/>
      <c r="F41" s="31"/>
    </row>
    <row r="42" spans="2:6" x14ac:dyDescent="0.25">
      <c r="B42" s="11">
        <v>10</v>
      </c>
      <c r="C42" s="31" t="s">
        <v>114</v>
      </c>
      <c r="D42" s="31"/>
      <c r="E42" s="31"/>
      <c r="F42" s="31"/>
    </row>
    <row r="43" spans="2:6" x14ac:dyDescent="0.25">
      <c r="B43" s="11">
        <v>11</v>
      </c>
      <c r="C43" s="31" t="s">
        <v>115</v>
      </c>
      <c r="D43" s="31"/>
      <c r="E43" s="31"/>
      <c r="F43" s="31"/>
    </row>
    <row r="44" spans="2:6" x14ac:dyDescent="0.25">
      <c r="B44" s="11">
        <v>12</v>
      </c>
      <c r="C44" s="31" t="s">
        <v>116</v>
      </c>
      <c r="D44" s="31"/>
      <c r="E44" s="31"/>
      <c r="F44" s="31"/>
    </row>
    <row r="45" spans="2:6" x14ac:dyDescent="0.25">
      <c r="B45" s="11">
        <v>13</v>
      </c>
      <c r="C45" s="31" t="s">
        <v>117</v>
      </c>
      <c r="D45" s="31"/>
      <c r="E45" s="31"/>
      <c r="F45" s="31"/>
    </row>
    <row r="46" spans="2:6" x14ac:dyDescent="0.25">
      <c r="B46" s="11">
        <v>14</v>
      </c>
      <c r="C46" s="31" t="s">
        <v>118</v>
      </c>
      <c r="D46" s="31"/>
      <c r="E46" s="31"/>
      <c r="F46" s="31"/>
    </row>
    <row r="47" spans="2:6" x14ac:dyDescent="0.25">
      <c r="B47" s="11">
        <v>15</v>
      </c>
      <c r="C47" s="31" t="s">
        <v>119</v>
      </c>
      <c r="D47" s="31"/>
      <c r="E47" s="31"/>
      <c r="F47" s="31"/>
    </row>
    <row r="48" spans="2:6" x14ac:dyDescent="0.25">
      <c r="B48" s="11">
        <v>16</v>
      </c>
      <c r="C48" s="31" t="s">
        <v>120</v>
      </c>
      <c r="D48" s="31"/>
      <c r="E48" s="31"/>
      <c r="F48" s="31"/>
    </row>
    <row r="49" spans="2:6" x14ac:dyDescent="0.25">
      <c r="B49" s="11">
        <v>17</v>
      </c>
      <c r="C49" s="31" t="s">
        <v>121</v>
      </c>
      <c r="D49" s="31"/>
      <c r="E49" s="31"/>
      <c r="F49" s="31"/>
    </row>
    <row r="50" spans="2:6" x14ac:dyDescent="0.25">
      <c r="B50" s="11">
        <v>18</v>
      </c>
      <c r="C50" s="31" t="s">
        <v>122</v>
      </c>
      <c r="D50" s="31"/>
      <c r="E50" s="31"/>
      <c r="F50" s="31"/>
    </row>
    <row r="51" spans="2:6" x14ac:dyDescent="0.25">
      <c r="B51" s="11">
        <v>19</v>
      </c>
      <c r="C51" s="31" t="s">
        <v>123</v>
      </c>
      <c r="D51" s="31"/>
      <c r="E51" s="31"/>
      <c r="F51" s="31"/>
    </row>
    <row r="52" spans="2:6" x14ac:dyDescent="0.25">
      <c r="B52" s="11">
        <v>20</v>
      </c>
      <c r="C52" s="31" t="s">
        <v>124</v>
      </c>
      <c r="D52" s="31"/>
      <c r="E52" s="31"/>
      <c r="F52" s="31"/>
    </row>
    <row r="53" spans="2:6" x14ac:dyDescent="0.25">
      <c r="B53" s="11">
        <v>21</v>
      </c>
      <c r="C53" s="31" t="s">
        <v>125</v>
      </c>
      <c r="D53" s="31"/>
      <c r="E53" s="31"/>
      <c r="F53" s="31"/>
    </row>
    <row r="54" spans="2:6" x14ac:dyDescent="0.25">
      <c r="B54" s="11">
        <v>22</v>
      </c>
      <c r="C54" s="31" t="s">
        <v>126</v>
      </c>
      <c r="D54" s="31"/>
      <c r="E54" s="31"/>
      <c r="F54" s="31"/>
    </row>
    <row r="55" spans="2:6" x14ac:dyDescent="0.25">
      <c r="B55" s="11">
        <v>23</v>
      </c>
      <c r="C55" s="31" t="s">
        <v>127</v>
      </c>
      <c r="D55" s="31"/>
      <c r="E55" s="31"/>
      <c r="F55" s="31"/>
    </row>
    <row r="56" spans="2:6" x14ac:dyDescent="0.25">
      <c r="B56" s="11">
        <v>24</v>
      </c>
      <c r="C56" s="31" t="s">
        <v>128</v>
      </c>
      <c r="D56" s="31"/>
      <c r="E56" s="31"/>
      <c r="F56" s="31"/>
    </row>
    <row r="57" spans="2:6" x14ac:dyDescent="0.25">
      <c r="B57" s="11">
        <v>25</v>
      </c>
      <c r="C57" s="31" t="s">
        <v>129</v>
      </c>
      <c r="D57" s="31"/>
      <c r="E57" s="31"/>
      <c r="F57" s="31"/>
    </row>
    <row r="58" spans="2:6" x14ac:dyDescent="0.25">
      <c r="B58" s="11">
        <v>26</v>
      </c>
      <c r="C58" s="31" t="s">
        <v>130</v>
      </c>
      <c r="D58" s="31"/>
      <c r="E58" s="31"/>
      <c r="F58" s="31"/>
    </row>
    <row r="59" spans="2:6" x14ac:dyDescent="0.25">
      <c r="B59" s="11">
        <v>27</v>
      </c>
      <c r="C59" s="31" t="s">
        <v>131</v>
      </c>
      <c r="D59" s="31"/>
      <c r="E59" s="31"/>
      <c r="F59" s="31"/>
    </row>
    <row r="60" spans="2:6" x14ac:dyDescent="0.25">
      <c r="B60" s="11">
        <v>28</v>
      </c>
      <c r="C60" s="31" t="s">
        <v>132</v>
      </c>
      <c r="D60" s="31"/>
      <c r="E60" s="31"/>
      <c r="F60" s="31"/>
    </row>
    <row r="63" spans="2:6" x14ac:dyDescent="0.25">
      <c r="B63" s="24" t="s">
        <v>138</v>
      </c>
      <c r="C63" s="25" t="s">
        <v>189</v>
      </c>
      <c r="D63" s="25"/>
      <c r="E63" s="25"/>
      <c r="F63" s="25"/>
    </row>
    <row r="64" spans="2:6" x14ac:dyDescent="0.25">
      <c r="B64" s="11">
        <v>1</v>
      </c>
      <c r="C64" s="31" t="s">
        <v>190</v>
      </c>
      <c r="D64" s="31"/>
      <c r="E64" s="31"/>
      <c r="F64" s="31"/>
    </row>
  </sheetData>
  <mergeCells count="34">
    <mergeCell ref="B2:F2"/>
    <mergeCell ref="B3:F3"/>
    <mergeCell ref="B4:F4"/>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3:F63"/>
    <mergeCell ref="C64:F6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57"/>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8" t="s">
        <v>276</v>
      </c>
      <c r="C2" s="18"/>
      <c r="D2" s="18"/>
      <c r="E2" s="18"/>
      <c r="F2" s="18"/>
    </row>
    <row r="3" spans="2:6" x14ac:dyDescent="0.25">
      <c r="B3" s="19" t="s">
        <v>8</v>
      </c>
      <c r="C3" s="19"/>
      <c r="D3" s="19"/>
      <c r="E3" s="19"/>
      <c r="F3" s="19"/>
    </row>
    <row r="4" spans="2:6" x14ac:dyDescent="0.25">
      <c r="B4" s="20" t="s">
        <v>134</v>
      </c>
      <c r="C4" s="20"/>
      <c r="D4" s="20"/>
      <c r="E4" s="20"/>
      <c r="F4" s="20"/>
    </row>
    <row r="6" spans="3:11" x14ac:dyDescent="0.25">
      <c r="C6" s="21" t="s">
        <v>135</v>
      </c>
      <c r="D6" s="22">
        <f>D12+D17+D22</f>
        <v>2</v>
      </c>
      <c r="E6" s="22">
        <f>E12+E17+E22</f>
        <v>4</v>
      </c>
      <c r="F6" s="23" t="s">
        <v>136</v>
      </c>
      <c r="I6" s="21" t="s">
        <v>137</v>
      </c>
      <c r="J6" s="22">
        <f>J12+J17+J22</f>
        <v>0</v>
      </c>
      <c r="K6" s="22">
        <f>K12+K17+K22</f>
        <v>0</v>
      </c>
    </row>
    <row r="8" spans="2:11" x14ac:dyDescent="0.25">
      <c r="B8" s="24" t="s">
        <v>138</v>
      </c>
      <c r="C8" s="25" t="s">
        <v>139</v>
      </c>
      <c r="D8" s="26" t="s">
        <v>14</v>
      </c>
      <c r="E8" s="26" t="s">
        <v>15</v>
      </c>
      <c r="F8" s="24" t="s">
        <v>16</v>
      </c>
      <c r="G8" s="24" t="s">
        <v>93</v>
      </c>
      <c r="H8" s="24" t="s">
        <v>140</v>
      </c>
      <c r="I8" s="24" t="s">
        <v>141</v>
      </c>
      <c r="J8" s="24" t="s">
        <v>17</v>
      </c>
      <c r="K8" s="24" t="s">
        <v>18</v>
      </c>
    </row>
    <row r="9" spans="2:11" x14ac:dyDescent="0.25">
      <c r="B9" s="27">
        <v>1</v>
      </c>
      <c r="C9" s="28" t="s">
        <v>142</v>
      </c>
      <c r="D9" s="29">
        <f>SUM(D10:D10)</f>
        <v>2</v>
      </c>
      <c r="E9" s="29">
        <f>SUM(E10:E10)</f>
        <v>4</v>
      </c>
      <c r="F9" s="30" t="s">
        <v>43</v>
      </c>
      <c r="J9" s="16">
        <f>SUM(J10:J10)</f>
        <v>0</v>
      </c>
      <c r="K9" s="16">
        <f>SUM(K10:K10)</f>
        <v>0</v>
      </c>
    </row>
    <row r="10" spans="2:11" x14ac:dyDescent="0.25">
      <c r="B10" s="11" t="s">
        <v>43</v>
      </c>
      <c r="C10" s="31" t="s">
        <v>277</v>
      </c>
      <c r="D10" s="32">
        <v>2</v>
      </c>
      <c r="E10" s="32">
        <v>4</v>
      </c>
      <c r="F10" s="9" t="s">
        <v>278</v>
      </c>
      <c r="G10" t="s">
        <v>100</v>
      </c>
      <c r="H10" t="s">
        <v>43</v>
      </c>
      <c r="I10" t="s">
        <v>279</v>
      </c>
      <c r="J10" s="16">
        <v>0</v>
      </c>
      <c r="K10" s="16">
        <v>0</v>
      </c>
    </row>
    <row r="12" spans="2:11" x14ac:dyDescent="0.25">
      <c r="B12" s="33" t="s">
        <v>43</v>
      </c>
      <c r="C12" s="33" t="s">
        <v>181</v>
      </c>
      <c r="D12" s="34">
        <f>D9</f>
        <v>2</v>
      </c>
      <c r="E12" s="34">
        <f>E9</f>
        <v>4</v>
      </c>
      <c r="F12" s="35" t="s">
        <v>43</v>
      </c>
      <c r="J12" s="17">
        <f>J9</f>
        <v>0</v>
      </c>
      <c r="K12" s="17">
        <f>K9</f>
        <v>0</v>
      </c>
    </row>
    <row r="15" spans="2:11" x14ac:dyDescent="0.25">
      <c r="B15" s="24" t="s">
        <v>138</v>
      </c>
      <c r="C15" s="25" t="s">
        <v>182</v>
      </c>
      <c r="D15" s="26" t="s">
        <v>14</v>
      </c>
      <c r="E15" s="26" t="s">
        <v>15</v>
      </c>
      <c r="F15" s="24" t="s">
        <v>16</v>
      </c>
      <c r="G15" s="24" t="s">
        <v>93</v>
      </c>
      <c r="H15" s="24" t="s">
        <v>140</v>
      </c>
      <c r="I15" s="24" t="s">
        <v>141</v>
      </c>
      <c r="J15" s="24" t="s">
        <v>17</v>
      </c>
      <c r="K15" s="24" t="s">
        <v>18</v>
      </c>
    </row>
    <row r="16" spans="2:11" x14ac:dyDescent="0.25">
      <c r="B16" s="11">
        <v>1</v>
      </c>
      <c r="C16" s="31" t="s">
        <v>183</v>
      </c>
      <c r="D16" s="32">
        <v>0</v>
      </c>
      <c r="E16" s="32">
        <v>0</v>
      </c>
      <c r="F16" s="9" t="s">
        <v>43</v>
      </c>
      <c r="J16" s="16">
        <v>0</v>
      </c>
      <c r="K16" s="16">
        <v>0</v>
      </c>
    </row>
    <row r="17" spans="2:11" x14ac:dyDescent="0.25">
      <c r="B17" s="33" t="s">
        <v>43</v>
      </c>
      <c r="C17" s="33" t="s">
        <v>184</v>
      </c>
      <c r="D17" s="34">
        <f>SUM(D16:D16)</f>
        <v>0</v>
      </c>
      <c r="E17" s="34">
        <f>SUM(E16:E16)</f>
        <v>0</v>
      </c>
      <c r="F17" s="35" t="s">
        <v>43</v>
      </c>
      <c r="J17" s="17">
        <f>SUM(J16:J16)</f>
        <v>0</v>
      </c>
      <c r="K17" s="17">
        <f>SUM(K16:K16)</f>
        <v>0</v>
      </c>
    </row>
    <row r="20" spans="2:11" x14ac:dyDescent="0.25">
      <c r="B20" s="24" t="s">
        <v>138</v>
      </c>
      <c r="C20" s="25" t="s">
        <v>185</v>
      </c>
      <c r="D20" s="26" t="s">
        <v>14</v>
      </c>
      <c r="E20" s="26" t="s">
        <v>15</v>
      </c>
      <c r="F20" s="24" t="s">
        <v>16</v>
      </c>
      <c r="G20" s="24" t="s">
        <v>93</v>
      </c>
      <c r="H20" s="24" t="s">
        <v>140</v>
      </c>
      <c r="I20" s="24" t="s">
        <v>141</v>
      </c>
      <c r="J20" s="24" t="s">
        <v>17</v>
      </c>
      <c r="K20" s="24" t="s">
        <v>18</v>
      </c>
    </row>
    <row r="21" spans="2:11" x14ac:dyDescent="0.25">
      <c r="B21" s="11">
        <v>1</v>
      </c>
      <c r="C21" s="31" t="s">
        <v>183</v>
      </c>
      <c r="D21" s="32">
        <v>0</v>
      </c>
      <c r="E21" s="32">
        <v>0</v>
      </c>
      <c r="F21" s="9" t="s">
        <v>186</v>
      </c>
      <c r="J21" s="16">
        <v>0</v>
      </c>
      <c r="K21" s="16">
        <v>0</v>
      </c>
    </row>
    <row r="22" spans="2:11" x14ac:dyDescent="0.25">
      <c r="B22" s="33" t="s">
        <v>43</v>
      </c>
      <c r="C22" s="33" t="s">
        <v>187</v>
      </c>
      <c r="D22" s="34">
        <f>SUM(D21:D21)</f>
        <v>0</v>
      </c>
      <c r="E22" s="34">
        <f>SUM(E21:E21)</f>
        <v>0</v>
      </c>
      <c r="F22" s="35" t="s">
        <v>43</v>
      </c>
      <c r="J22" s="17">
        <f>SUM(J21:J21)</f>
        <v>0</v>
      </c>
      <c r="K22" s="17">
        <f>SUM(K21:K21)</f>
        <v>0</v>
      </c>
    </row>
    <row r="25" spans="2:6" x14ac:dyDescent="0.25">
      <c r="B25" s="24" t="s">
        <v>138</v>
      </c>
      <c r="C25" s="25" t="s">
        <v>188</v>
      </c>
      <c r="D25" s="25"/>
      <c r="E25" s="25"/>
      <c r="F25" s="25"/>
    </row>
    <row r="26" spans="2:6" x14ac:dyDescent="0.25">
      <c r="B26" s="11">
        <v>1</v>
      </c>
      <c r="C26" s="31" t="s">
        <v>105</v>
      </c>
      <c r="D26" s="31"/>
      <c r="E26" s="31"/>
      <c r="F26" s="31"/>
    </row>
    <row r="27" spans="2:6" x14ac:dyDescent="0.25">
      <c r="B27" s="11">
        <v>2</v>
      </c>
      <c r="C27" s="31" t="s">
        <v>106</v>
      </c>
      <c r="D27" s="31"/>
      <c r="E27" s="31"/>
      <c r="F27" s="31"/>
    </row>
    <row r="28" spans="2:6" x14ac:dyDescent="0.25">
      <c r="B28" s="11">
        <v>3</v>
      </c>
      <c r="C28" s="31" t="s">
        <v>107</v>
      </c>
      <c r="D28" s="31"/>
      <c r="E28" s="31"/>
      <c r="F28" s="31"/>
    </row>
    <row r="29" spans="2:6" x14ac:dyDescent="0.25">
      <c r="B29" s="11">
        <v>4</v>
      </c>
      <c r="C29" s="31" t="s">
        <v>108</v>
      </c>
      <c r="D29" s="31"/>
      <c r="E29" s="31"/>
      <c r="F29" s="31"/>
    </row>
    <row r="30" spans="2:6" x14ac:dyDescent="0.25">
      <c r="B30" s="11">
        <v>5</v>
      </c>
      <c r="C30" s="31" t="s">
        <v>109</v>
      </c>
      <c r="D30" s="31"/>
      <c r="E30" s="31"/>
      <c r="F30" s="31"/>
    </row>
    <row r="31" spans="2:6" x14ac:dyDescent="0.25">
      <c r="B31" s="11">
        <v>6</v>
      </c>
      <c r="C31" s="31" t="s">
        <v>110</v>
      </c>
      <c r="D31" s="31"/>
      <c r="E31" s="31"/>
      <c r="F31" s="31"/>
    </row>
    <row r="32" spans="2:6" x14ac:dyDescent="0.25">
      <c r="B32" s="11">
        <v>7</v>
      </c>
      <c r="C32" s="31" t="s">
        <v>111</v>
      </c>
      <c r="D32" s="31"/>
      <c r="E32" s="31"/>
      <c r="F32" s="31"/>
    </row>
    <row r="33" spans="2:6" x14ac:dyDescent="0.25">
      <c r="B33" s="11">
        <v>8</v>
      </c>
      <c r="C33" s="31" t="s">
        <v>112</v>
      </c>
      <c r="D33" s="31"/>
      <c r="E33" s="31"/>
      <c r="F33" s="31"/>
    </row>
    <row r="34" spans="2:6" x14ac:dyDescent="0.25">
      <c r="B34" s="11">
        <v>9</v>
      </c>
      <c r="C34" s="31" t="s">
        <v>113</v>
      </c>
      <c r="D34" s="31"/>
      <c r="E34" s="31"/>
      <c r="F34" s="31"/>
    </row>
    <row r="35" spans="2:6" x14ac:dyDescent="0.25">
      <c r="B35" s="11">
        <v>10</v>
      </c>
      <c r="C35" s="31" t="s">
        <v>114</v>
      </c>
      <c r="D35" s="31"/>
      <c r="E35" s="31"/>
      <c r="F35" s="31"/>
    </row>
    <row r="36" spans="2:6" x14ac:dyDescent="0.25">
      <c r="B36" s="11">
        <v>11</v>
      </c>
      <c r="C36" s="31" t="s">
        <v>115</v>
      </c>
      <c r="D36" s="31"/>
      <c r="E36" s="31"/>
      <c r="F36" s="31"/>
    </row>
    <row r="37" spans="2:6" x14ac:dyDescent="0.25">
      <c r="B37" s="11">
        <v>12</v>
      </c>
      <c r="C37" s="31" t="s">
        <v>116</v>
      </c>
      <c r="D37" s="31"/>
      <c r="E37" s="31"/>
      <c r="F37" s="31"/>
    </row>
    <row r="38" spans="2:6" x14ac:dyDescent="0.25">
      <c r="B38" s="11">
        <v>13</v>
      </c>
      <c r="C38" s="31" t="s">
        <v>117</v>
      </c>
      <c r="D38" s="31"/>
      <c r="E38" s="31"/>
      <c r="F38" s="31"/>
    </row>
    <row r="39" spans="2:6" x14ac:dyDescent="0.25">
      <c r="B39" s="11">
        <v>14</v>
      </c>
      <c r="C39" s="31" t="s">
        <v>118</v>
      </c>
      <c r="D39" s="31"/>
      <c r="E39" s="31"/>
      <c r="F39" s="31"/>
    </row>
    <row r="40" spans="2:6" x14ac:dyDescent="0.25">
      <c r="B40" s="11">
        <v>15</v>
      </c>
      <c r="C40" s="31" t="s">
        <v>119</v>
      </c>
      <c r="D40" s="31"/>
      <c r="E40" s="31"/>
      <c r="F40" s="31"/>
    </row>
    <row r="41" spans="2:6" x14ac:dyDescent="0.25">
      <c r="B41" s="11">
        <v>16</v>
      </c>
      <c r="C41" s="31" t="s">
        <v>120</v>
      </c>
      <c r="D41" s="31"/>
      <c r="E41" s="31"/>
      <c r="F41" s="31"/>
    </row>
    <row r="42" spans="2:6" x14ac:dyDescent="0.25">
      <c r="B42" s="11">
        <v>17</v>
      </c>
      <c r="C42" s="31" t="s">
        <v>121</v>
      </c>
      <c r="D42" s="31"/>
      <c r="E42" s="31"/>
      <c r="F42" s="31"/>
    </row>
    <row r="43" spans="2:6" x14ac:dyDescent="0.25">
      <c r="B43" s="11">
        <v>18</v>
      </c>
      <c r="C43" s="31" t="s">
        <v>122</v>
      </c>
      <c r="D43" s="31"/>
      <c r="E43" s="31"/>
      <c r="F43" s="31"/>
    </row>
    <row r="44" spans="2:6" x14ac:dyDescent="0.25">
      <c r="B44" s="11">
        <v>19</v>
      </c>
      <c r="C44" s="31" t="s">
        <v>123</v>
      </c>
      <c r="D44" s="31"/>
      <c r="E44" s="31"/>
      <c r="F44" s="31"/>
    </row>
    <row r="45" spans="2:6" x14ac:dyDescent="0.25">
      <c r="B45" s="11">
        <v>20</v>
      </c>
      <c r="C45" s="31" t="s">
        <v>124</v>
      </c>
      <c r="D45" s="31"/>
      <c r="E45" s="31"/>
      <c r="F45" s="31"/>
    </row>
    <row r="46" spans="2:6" x14ac:dyDescent="0.25">
      <c r="B46" s="11">
        <v>21</v>
      </c>
      <c r="C46" s="31" t="s">
        <v>125</v>
      </c>
      <c r="D46" s="31"/>
      <c r="E46" s="31"/>
      <c r="F46" s="31"/>
    </row>
    <row r="47" spans="2:6" x14ac:dyDescent="0.25">
      <c r="B47" s="11">
        <v>22</v>
      </c>
      <c r="C47" s="31" t="s">
        <v>126</v>
      </c>
      <c r="D47" s="31"/>
      <c r="E47" s="31"/>
      <c r="F47" s="31"/>
    </row>
    <row r="48" spans="2:6" x14ac:dyDescent="0.25">
      <c r="B48" s="11">
        <v>23</v>
      </c>
      <c r="C48" s="31" t="s">
        <v>127</v>
      </c>
      <c r="D48" s="31"/>
      <c r="E48" s="31"/>
      <c r="F48" s="31"/>
    </row>
    <row r="49" spans="2:6" x14ac:dyDescent="0.25">
      <c r="B49" s="11">
        <v>24</v>
      </c>
      <c r="C49" s="31" t="s">
        <v>128</v>
      </c>
      <c r="D49" s="31"/>
      <c r="E49" s="31"/>
      <c r="F49" s="31"/>
    </row>
    <row r="50" spans="2:6" x14ac:dyDescent="0.25">
      <c r="B50" s="11">
        <v>25</v>
      </c>
      <c r="C50" s="31" t="s">
        <v>129</v>
      </c>
      <c r="D50" s="31"/>
      <c r="E50" s="31"/>
      <c r="F50" s="31"/>
    </row>
    <row r="51" spans="2:6" x14ac:dyDescent="0.25">
      <c r="B51" s="11">
        <v>26</v>
      </c>
      <c r="C51" s="31" t="s">
        <v>130</v>
      </c>
      <c r="D51" s="31"/>
      <c r="E51" s="31"/>
      <c r="F51" s="31"/>
    </row>
    <row r="52" spans="2:6" x14ac:dyDescent="0.25">
      <c r="B52" s="11">
        <v>27</v>
      </c>
      <c r="C52" s="31" t="s">
        <v>131</v>
      </c>
      <c r="D52" s="31"/>
      <c r="E52" s="31"/>
      <c r="F52" s="31"/>
    </row>
    <row r="53" spans="2:6" x14ac:dyDescent="0.25">
      <c r="B53" s="11">
        <v>28</v>
      </c>
      <c r="C53" s="31" t="s">
        <v>132</v>
      </c>
      <c r="D53" s="31"/>
      <c r="E53" s="31"/>
      <c r="F53" s="31"/>
    </row>
    <row r="56" spans="2:6" x14ac:dyDescent="0.25">
      <c r="B56" s="24" t="s">
        <v>138</v>
      </c>
      <c r="C56" s="25" t="s">
        <v>189</v>
      </c>
      <c r="D56" s="25"/>
      <c r="E56" s="25"/>
      <c r="F56" s="25"/>
    </row>
    <row r="57" spans="2:6" x14ac:dyDescent="0.25">
      <c r="B57" s="11">
        <v>1</v>
      </c>
      <c r="C57" s="31" t="s">
        <v>190</v>
      </c>
      <c r="D57" s="31"/>
      <c r="E57" s="31"/>
      <c r="F57" s="31"/>
    </row>
  </sheetData>
  <mergeCells count="34">
    <mergeCell ref="B2:F2"/>
    <mergeCell ref="B3:F3"/>
    <mergeCell ref="B4:F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6:F56"/>
    <mergeCell ref="C57:F5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8" t="s">
        <v>280</v>
      </c>
      <c r="C2" s="18"/>
      <c r="D2" s="18"/>
      <c r="E2" s="18"/>
      <c r="F2" s="18"/>
    </row>
    <row r="3" spans="2:6" x14ac:dyDescent="0.25">
      <c r="B3" s="19" t="s">
        <v>8</v>
      </c>
      <c r="C3" s="19"/>
      <c r="D3" s="19"/>
      <c r="E3" s="19"/>
      <c r="F3" s="19"/>
    </row>
    <row r="4" spans="2:6" x14ac:dyDescent="0.25">
      <c r="B4" s="20" t="s">
        <v>134</v>
      </c>
      <c r="C4" s="20"/>
      <c r="D4" s="20"/>
      <c r="E4" s="20"/>
      <c r="F4" s="20"/>
    </row>
    <row r="6" spans="2:2" x14ac:dyDescent="0.25">
      <c r="B6" s="28" t="s">
        <v>281</v>
      </c>
    </row>
    <row r="7" spans="2:2" x14ac:dyDescent="0.25">
      <c r="B7" s="36" t="s">
        <v>194</v>
      </c>
    </row>
    <row r="8" spans="2:11" x14ac:dyDescent="0.25">
      <c r="B8" s="24" t="s">
        <v>138</v>
      </c>
      <c r="C8" s="25" t="s">
        <v>139</v>
      </c>
      <c r="D8" s="26" t="s">
        <v>14</v>
      </c>
      <c r="E8" s="26" t="s">
        <v>15</v>
      </c>
      <c r="F8" s="24" t="s">
        <v>16</v>
      </c>
      <c r="G8" s="24" t="s">
        <v>93</v>
      </c>
      <c r="H8" s="24" t="s">
        <v>140</v>
      </c>
      <c r="I8" s="24" t="s">
        <v>141</v>
      </c>
      <c r="J8" s="24" t="s">
        <v>17</v>
      </c>
      <c r="K8" s="24" t="s">
        <v>18</v>
      </c>
    </row>
    <row r="9" spans="2:11" x14ac:dyDescent="0.25">
      <c r="B9" s="11">
        <v>1</v>
      </c>
      <c r="C9" s="31" t="s">
        <v>183</v>
      </c>
      <c r="D9" s="32">
        <v>0</v>
      </c>
      <c r="E9" s="32">
        <v>0</v>
      </c>
      <c r="F9" s="9" t="s">
        <v>43</v>
      </c>
      <c r="G9" t="s">
        <v>43</v>
      </c>
      <c r="H9" t="s">
        <v>43</v>
      </c>
      <c r="I9" t="s">
        <v>43</v>
      </c>
      <c r="J9" s="16">
        <v>0</v>
      </c>
      <c r="K9" s="16">
        <v>0</v>
      </c>
    </row>
    <row r="10" spans="3:11" x14ac:dyDescent="0.25">
      <c r="C10" s="33" t="s">
        <v>282</v>
      </c>
      <c r="D10" s="34">
        <f>SUM(D9:D9)</f>
        <v>0</v>
      </c>
      <c r="E10" s="34">
        <f>SUM(E9:E9)</f>
        <v>0</v>
      </c>
      <c r="J10" s="17">
        <f>SUM(J9:J9)</f>
        <v>0</v>
      </c>
      <c r="K10" s="17">
        <f>SUM(K9:K9)</f>
        <v>0</v>
      </c>
    </row>
    <row r="13" spans="2:2" x14ac:dyDescent="0.25">
      <c r="B13" s="28" t="s">
        <v>283</v>
      </c>
    </row>
    <row r="14" spans="2:11" x14ac:dyDescent="0.25">
      <c r="B14" s="24" t="s">
        <v>138</v>
      </c>
      <c r="C14" s="25" t="s">
        <v>139</v>
      </c>
      <c r="D14" s="26" t="s">
        <v>14</v>
      </c>
      <c r="E14" s="26" t="s">
        <v>15</v>
      </c>
      <c r="F14" s="24" t="s">
        <v>16</v>
      </c>
      <c r="G14" s="24" t="s">
        <v>93</v>
      </c>
      <c r="H14" s="24" t="s">
        <v>140</v>
      </c>
      <c r="I14" s="24" t="s">
        <v>141</v>
      </c>
      <c r="J14" s="24" t="s">
        <v>17</v>
      </c>
      <c r="K14" s="24" t="s">
        <v>18</v>
      </c>
    </row>
    <row r="15" spans="2:11" x14ac:dyDescent="0.25">
      <c r="B15" s="11">
        <v>1</v>
      </c>
      <c r="C15" s="31" t="s">
        <v>284</v>
      </c>
      <c r="D15" s="32">
        <v>4</v>
      </c>
      <c r="E15" s="32">
        <v>8</v>
      </c>
      <c r="F15" s="9" t="s">
        <v>285</v>
      </c>
      <c r="G15" t="s">
        <v>100</v>
      </c>
      <c r="H15" t="s">
        <v>43</v>
      </c>
      <c r="I15" t="s">
        <v>286</v>
      </c>
      <c r="J15" s="16">
        <v>0</v>
      </c>
      <c r="K15" s="16">
        <v>0</v>
      </c>
    </row>
    <row r="16" spans="3:11" x14ac:dyDescent="0.25">
      <c r="C16" s="33" t="s">
        <v>287</v>
      </c>
      <c r="D16" s="34">
        <f>SUM(D15:D15)</f>
        <v>4</v>
      </c>
      <c r="E16" s="34">
        <f>SUM(E15:E15)</f>
        <v>8</v>
      </c>
      <c r="J16" s="17">
        <f>SUM(J15:J15)</f>
        <v>0</v>
      </c>
      <c r="K16" s="17">
        <f>SUM(K15:K15)</f>
        <v>0</v>
      </c>
    </row>
    <row r="19" spans="2:2" x14ac:dyDescent="0.25">
      <c r="B19" s="28" t="s">
        <v>288</v>
      </c>
    </row>
    <row r="20" spans="2:11" x14ac:dyDescent="0.25">
      <c r="B20" s="24" t="s">
        <v>138</v>
      </c>
      <c r="C20" s="25" t="s">
        <v>139</v>
      </c>
      <c r="D20" s="26" t="s">
        <v>14</v>
      </c>
      <c r="E20" s="26" t="s">
        <v>15</v>
      </c>
      <c r="F20" s="24" t="s">
        <v>16</v>
      </c>
      <c r="G20" s="24" t="s">
        <v>93</v>
      </c>
      <c r="H20" s="24" t="s">
        <v>140</v>
      </c>
      <c r="I20" s="24" t="s">
        <v>141</v>
      </c>
      <c r="J20" s="24" t="s">
        <v>17</v>
      </c>
      <c r="K20" s="24" t="s">
        <v>18</v>
      </c>
    </row>
    <row r="21" spans="2:11" x14ac:dyDescent="0.25">
      <c r="B21" s="11">
        <v>1</v>
      </c>
      <c r="C21" s="31" t="s">
        <v>289</v>
      </c>
      <c r="D21" s="32">
        <v>2.88</v>
      </c>
      <c r="E21" s="32">
        <v>5.76</v>
      </c>
      <c r="F21" s="9" t="s">
        <v>290</v>
      </c>
      <c r="G21" t="s">
        <v>98</v>
      </c>
      <c r="H21" t="s">
        <v>43</v>
      </c>
      <c r="I21" t="s">
        <v>291</v>
      </c>
      <c r="J21" s="16">
        <v>0.36</v>
      </c>
      <c r="K21" s="16">
        <v>1.21</v>
      </c>
    </row>
    <row r="22" spans="3:11" x14ac:dyDescent="0.25">
      <c r="C22" s="33" t="s">
        <v>292</v>
      </c>
      <c r="D22" s="34">
        <f>SUM(D21:D21)</f>
        <v>2.88</v>
      </c>
      <c r="E22" s="34">
        <f>SUM(E21:E21)</f>
        <v>5.76</v>
      </c>
      <c r="J22" s="17">
        <f>SUM(J21:J21)</f>
        <v>0.36</v>
      </c>
      <c r="K22" s="17">
        <f>SUM(K21:K21)</f>
        <v>1.21</v>
      </c>
    </row>
    <row r="25" spans="2:2" x14ac:dyDescent="0.25">
      <c r="B25" s="28" t="s">
        <v>293</v>
      </c>
    </row>
    <row r="26" spans="2:11" x14ac:dyDescent="0.25">
      <c r="B26" s="24" t="s">
        <v>138</v>
      </c>
      <c r="C26" s="25" t="s">
        <v>139</v>
      </c>
      <c r="D26" s="26" t="s">
        <v>14</v>
      </c>
      <c r="E26" s="26" t="s">
        <v>15</v>
      </c>
      <c r="F26" s="24" t="s">
        <v>16</v>
      </c>
      <c r="G26" s="24" t="s">
        <v>93</v>
      </c>
      <c r="H26" s="24" t="s">
        <v>140</v>
      </c>
      <c r="I26" s="24" t="s">
        <v>141</v>
      </c>
      <c r="J26" s="24" t="s">
        <v>17</v>
      </c>
      <c r="K26" s="24" t="s">
        <v>18</v>
      </c>
    </row>
    <row r="27" spans="2:11" x14ac:dyDescent="0.25">
      <c r="B27" s="11">
        <v>1</v>
      </c>
      <c r="C27" s="31" t="s">
        <v>183</v>
      </c>
      <c r="D27" s="32">
        <v>0</v>
      </c>
      <c r="E27" s="32">
        <v>0</v>
      </c>
      <c r="F27" s="9" t="s">
        <v>43</v>
      </c>
      <c r="G27" t="s">
        <v>43</v>
      </c>
      <c r="H27" t="s">
        <v>43</v>
      </c>
      <c r="I27" t="s">
        <v>43</v>
      </c>
      <c r="J27" s="16">
        <v>0</v>
      </c>
      <c r="K27" s="16">
        <v>0</v>
      </c>
    </row>
    <row r="28" spans="3:11" x14ac:dyDescent="0.25">
      <c r="C28" s="33" t="s">
        <v>294</v>
      </c>
      <c r="D28" s="34">
        <f>SUM(D27:D27)</f>
        <v>0</v>
      </c>
      <c r="E28" s="34">
        <f>SUM(E27:E27)</f>
        <v>0</v>
      </c>
      <c r="J28" s="17">
        <f>SUM(J27:J27)</f>
        <v>0</v>
      </c>
      <c r="K28" s="17">
        <f>SUM(K27:K27)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1"/>
  <sheetViews>
    <sheetView workbookViewId="0">
      <pane ySplit="4" topLeftCell="A5" activePane="bottomLeft" state="frozen"/>
      <selection pane="bottomLeft"/>
    </sheetView>
  </sheetViews>
  <sheetFormatPr defaultRowHeight="15" outlineLevelRow="0" outlineLevelCol="0" x14ac:dyDescent="55"/>
  <cols>
    <col min="3" max="3" width="46" customWidth="1"/>
    <col min="4" max="4" width="10" customWidth="1"/>
    <col min="5" max="5" width="30" customWidth="1"/>
    <col min="6" max="6" width="10" customWidth="1"/>
    <col min="7" max="7" width="22" customWidth="1"/>
    <col min="8" max="9" width="13" customWidth="1"/>
    <col min="10" max="11" width="12" customWidth="1"/>
  </cols>
  <sheetData>
    <row r="1" spans="2:2" x14ac:dyDescent="0.25">
      <c r="B1" s="37" t="s">
        <v>295</v>
      </c>
    </row>
    <row r="2" spans="2:2" x14ac:dyDescent="0.25">
      <c r="B2" t="s">
        <v>296</v>
      </c>
    </row>
    <row r="4" spans="2:11" x14ac:dyDescent="0.25">
      <c r="B4" s="38" t="s">
        <v>141</v>
      </c>
      <c r="C4" s="38" t="s">
        <v>139</v>
      </c>
      <c r="D4" s="38" t="s">
        <v>297</v>
      </c>
      <c r="E4" s="38" t="s">
        <v>298</v>
      </c>
      <c r="F4" s="38" t="s">
        <v>93</v>
      </c>
      <c r="G4" s="38" t="s">
        <v>140</v>
      </c>
      <c r="H4" s="38" t="s">
        <v>14</v>
      </c>
      <c r="I4" s="38" t="s">
        <v>15</v>
      </c>
      <c r="J4" s="38" t="s">
        <v>17</v>
      </c>
      <c r="K4" s="38" t="s">
        <v>18</v>
      </c>
    </row>
    <row r="5" spans="2:11" x14ac:dyDescent="0.25">
      <c r="B5" t="s">
        <v>145</v>
      </c>
      <c r="C5" t="s">
        <v>143</v>
      </c>
      <c r="D5" t="s">
        <v>299</v>
      </c>
      <c r="E5" t="s">
        <v>142</v>
      </c>
      <c r="F5" t="s">
        <v>99</v>
      </c>
      <c r="G5" t="s">
        <v>43</v>
      </c>
      <c r="H5" s="16">
        <v>17.47</v>
      </c>
      <c r="I5" s="16">
        <v>30.58</v>
      </c>
      <c r="J5" s="16">
        <v>2</v>
      </c>
      <c r="K5" s="16">
        <v>6.74</v>
      </c>
    </row>
    <row r="6" spans="2:11" x14ac:dyDescent="0.25">
      <c r="B6" t="s">
        <v>159</v>
      </c>
      <c r="C6" t="s">
        <v>156</v>
      </c>
      <c r="D6" t="s">
        <v>299</v>
      </c>
      <c r="E6" t="s">
        <v>155</v>
      </c>
      <c r="F6" t="s">
        <v>98</v>
      </c>
      <c r="G6" t="s">
        <v>158</v>
      </c>
      <c r="H6" s="16">
        <v>2.16</v>
      </c>
      <c r="I6" s="16">
        <v>4.32</v>
      </c>
      <c r="J6" s="16">
        <v>0.27</v>
      </c>
      <c r="K6" s="16">
        <v>0.91</v>
      </c>
    </row>
    <row r="7" spans="2:11" x14ac:dyDescent="0.25">
      <c r="B7" t="s">
        <v>168</v>
      </c>
      <c r="C7" t="s">
        <v>165</v>
      </c>
      <c r="D7" t="s">
        <v>299</v>
      </c>
      <c r="E7" t="s">
        <v>164</v>
      </c>
      <c r="F7" t="s">
        <v>99</v>
      </c>
      <c r="G7" t="s">
        <v>167</v>
      </c>
      <c r="H7" s="16">
        <v>13.1</v>
      </c>
      <c r="I7" s="16">
        <v>20.97</v>
      </c>
      <c r="J7" s="16">
        <v>1.42</v>
      </c>
      <c r="K7" s="16">
        <v>4.78</v>
      </c>
    </row>
    <row r="8" spans="2:11" x14ac:dyDescent="0.25">
      <c r="B8" t="s">
        <v>150</v>
      </c>
      <c r="C8" t="s">
        <v>147</v>
      </c>
      <c r="D8" t="s">
        <v>299</v>
      </c>
      <c r="E8" t="s">
        <v>146</v>
      </c>
      <c r="F8" t="s">
        <v>98</v>
      </c>
      <c r="G8" t="s">
        <v>149</v>
      </c>
      <c r="H8" s="16">
        <v>3.9</v>
      </c>
      <c r="I8" s="16">
        <v>7.8</v>
      </c>
      <c r="J8" s="16">
        <v>0.49</v>
      </c>
      <c r="K8" s="16">
        <v>1.64</v>
      </c>
    </row>
    <row r="9" spans="2:11" x14ac:dyDescent="0.25">
      <c r="B9" t="s">
        <v>154</v>
      </c>
      <c r="C9" t="s">
        <v>151</v>
      </c>
      <c r="D9" t="s">
        <v>299</v>
      </c>
      <c r="E9" t="s">
        <v>146</v>
      </c>
      <c r="F9" t="s">
        <v>98</v>
      </c>
      <c r="G9" t="s">
        <v>153</v>
      </c>
      <c r="H9" s="16">
        <v>1.62</v>
      </c>
      <c r="I9" s="16">
        <v>3.24</v>
      </c>
      <c r="J9" s="16">
        <v>0.2</v>
      </c>
      <c r="K9" s="16">
        <v>0.68</v>
      </c>
    </row>
    <row r="10" spans="2:11" x14ac:dyDescent="0.25">
      <c r="B10" t="s">
        <v>163</v>
      </c>
      <c r="C10" t="s">
        <v>160</v>
      </c>
      <c r="D10" t="s">
        <v>299</v>
      </c>
      <c r="E10" t="s">
        <v>155</v>
      </c>
      <c r="F10" t="s">
        <v>98</v>
      </c>
      <c r="G10" t="s">
        <v>162</v>
      </c>
      <c r="H10" s="16">
        <v>12.8</v>
      </c>
      <c r="I10" s="16">
        <v>22.4</v>
      </c>
      <c r="J10" s="16">
        <v>1.47</v>
      </c>
      <c r="K10" s="16">
        <v>4.94</v>
      </c>
    </row>
    <row r="11" spans="2:11" x14ac:dyDescent="0.25">
      <c r="B11" t="s">
        <v>172</v>
      </c>
      <c r="C11" t="s">
        <v>169</v>
      </c>
      <c r="D11" t="s">
        <v>299</v>
      </c>
      <c r="E11" t="s">
        <v>164</v>
      </c>
      <c r="F11" t="s">
        <v>98</v>
      </c>
      <c r="G11" t="s">
        <v>171</v>
      </c>
      <c r="H11" s="16">
        <v>2.7</v>
      </c>
      <c r="I11" s="16">
        <v>5.4</v>
      </c>
      <c r="J11" s="16">
        <v>0.34</v>
      </c>
      <c r="K11" s="16">
        <v>1.14</v>
      </c>
    </row>
    <row r="12" spans="2:11" x14ac:dyDescent="0.25">
      <c r="B12" t="s">
        <v>176</v>
      </c>
      <c r="C12" t="s">
        <v>173</v>
      </c>
      <c r="D12" t="s">
        <v>299</v>
      </c>
      <c r="E12" t="s">
        <v>164</v>
      </c>
      <c r="F12" t="s">
        <v>98</v>
      </c>
      <c r="G12" t="s">
        <v>175</v>
      </c>
      <c r="H12" s="16">
        <v>1.62</v>
      </c>
      <c r="I12" s="16">
        <v>3.24</v>
      </c>
      <c r="J12" s="16">
        <v>0.2</v>
      </c>
      <c r="K12" s="16">
        <v>0.68</v>
      </c>
    </row>
    <row r="13" spans="2:11" x14ac:dyDescent="0.25">
      <c r="B13" t="s">
        <v>180</v>
      </c>
      <c r="C13" t="s">
        <v>177</v>
      </c>
      <c r="D13" t="s">
        <v>299</v>
      </c>
      <c r="E13" t="s">
        <v>164</v>
      </c>
      <c r="F13" t="s">
        <v>98</v>
      </c>
      <c r="G13" t="s">
        <v>179</v>
      </c>
      <c r="H13" s="16">
        <v>7.21</v>
      </c>
      <c r="I13" s="16">
        <v>12.61</v>
      </c>
      <c r="J13" s="16">
        <v>0.83</v>
      </c>
      <c r="K13" s="16">
        <v>2.78</v>
      </c>
    </row>
    <row r="14" spans="2:11" x14ac:dyDescent="0.25">
      <c r="B14" t="s">
        <v>198</v>
      </c>
      <c r="C14" t="s">
        <v>195</v>
      </c>
      <c r="D14" t="s">
        <v>300</v>
      </c>
      <c r="E14" t="s">
        <v>142</v>
      </c>
      <c r="F14" t="s">
        <v>98</v>
      </c>
      <c r="G14" t="s">
        <v>197</v>
      </c>
      <c r="H14" s="16">
        <v>4.8</v>
      </c>
      <c r="I14" s="16">
        <v>8.4</v>
      </c>
      <c r="J14" s="16">
        <v>0.55</v>
      </c>
      <c r="K14" s="16">
        <v>1.85</v>
      </c>
    </row>
    <row r="15" spans="2:11" x14ac:dyDescent="0.25">
      <c r="B15" t="s">
        <v>210</v>
      </c>
      <c r="C15" t="s">
        <v>207</v>
      </c>
      <c r="D15" t="s">
        <v>300</v>
      </c>
      <c r="E15" t="s">
        <v>206</v>
      </c>
      <c r="F15" t="s">
        <v>98</v>
      </c>
      <c r="G15" t="s">
        <v>209</v>
      </c>
      <c r="H15" s="16">
        <v>7.02</v>
      </c>
      <c r="I15" s="16">
        <v>11.7</v>
      </c>
      <c r="J15" s="16">
        <v>0.78</v>
      </c>
      <c r="K15" s="16">
        <v>2.63</v>
      </c>
    </row>
    <row r="16" spans="2:11" x14ac:dyDescent="0.25">
      <c r="B16" t="s">
        <v>205</v>
      </c>
      <c r="C16" t="s">
        <v>202</v>
      </c>
      <c r="D16" t="s">
        <v>300</v>
      </c>
      <c r="E16" t="s">
        <v>146</v>
      </c>
      <c r="F16" t="s">
        <v>98</v>
      </c>
      <c r="G16" t="s">
        <v>204</v>
      </c>
      <c r="H16" s="16">
        <v>6</v>
      </c>
      <c r="I16" s="16">
        <v>10</v>
      </c>
      <c r="J16" s="16">
        <v>0.67</v>
      </c>
      <c r="K16" s="16">
        <v>2.25</v>
      </c>
    </row>
    <row r="17" spans="2:11" x14ac:dyDescent="0.25">
      <c r="B17" t="s">
        <v>214</v>
      </c>
      <c r="C17" t="s">
        <v>211</v>
      </c>
      <c r="D17" t="s">
        <v>300</v>
      </c>
      <c r="E17" t="s">
        <v>206</v>
      </c>
      <c r="F17" t="s">
        <v>98</v>
      </c>
      <c r="G17" t="s">
        <v>213</v>
      </c>
      <c r="H17" s="16">
        <v>19.6</v>
      </c>
      <c r="I17" s="16">
        <v>30.8</v>
      </c>
      <c r="J17" s="16">
        <v>2.1</v>
      </c>
      <c r="K17" s="16">
        <v>7.07</v>
      </c>
    </row>
    <row r="18" spans="2:11" x14ac:dyDescent="0.25">
      <c r="B18" t="s">
        <v>218</v>
      </c>
      <c r="C18" t="s">
        <v>215</v>
      </c>
      <c r="D18" t="s">
        <v>300</v>
      </c>
      <c r="E18" t="s">
        <v>206</v>
      </c>
      <c r="F18" t="s">
        <v>98</v>
      </c>
      <c r="G18" t="s">
        <v>217</v>
      </c>
      <c r="H18" s="16">
        <v>5.04</v>
      </c>
      <c r="I18" s="16">
        <v>8.4</v>
      </c>
      <c r="J18" s="16">
        <v>0.56</v>
      </c>
      <c r="K18" s="16">
        <v>1.89</v>
      </c>
    </row>
    <row r="19" spans="2:11" x14ac:dyDescent="0.25">
      <c r="B19" t="s">
        <v>222</v>
      </c>
      <c r="C19" t="s">
        <v>219</v>
      </c>
      <c r="D19" t="s">
        <v>300</v>
      </c>
      <c r="E19" t="s">
        <v>164</v>
      </c>
      <c r="F19" t="s">
        <v>98</v>
      </c>
      <c r="G19" t="s">
        <v>221</v>
      </c>
      <c r="H19" s="16">
        <v>8.4</v>
      </c>
      <c r="I19" s="16">
        <v>14</v>
      </c>
      <c r="J19" s="16">
        <v>0.93</v>
      </c>
      <c r="K19" s="16">
        <v>3.14</v>
      </c>
    </row>
    <row r="20" spans="2:11" x14ac:dyDescent="0.25">
      <c r="B20" t="s">
        <v>226</v>
      </c>
      <c r="C20" t="s">
        <v>223</v>
      </c>
      <c r="D20" t="s">
        <v>300</v>
      </c>
      <c r="E20" t="s">
        <v>164</v>
      </c>
      <c r="F20" t="s">
        <v>98</v>
      </c>
      <c r="G20" t="s">
        <v>225</v>
      </c>
      <c r="H20" s="16">
        <v>7</v>
      </c>
      <c r="I20" s="16">
        <v>11.2</v>
      </c>
      <c r="J20" s="16">
        <v>0.76</v>
      </c>
      <c r="K20" s="16">
        <v>2.56</v>
      </c>
    </row>
    <row r="21" spans="2:11" x14ac:dyDescent="0.25">
      <c r="B21" t="s">
        <v>240</v>
      </c>
      <c r="C21" t="s">
        <v>237</v>
      </c>
      <c r="D21" t="s">
        <v>301</v>
      </c>
      <c r="E21" t="s">
        <v>146</v>
      </c>
      <c r="F21" t="s">
        <v>98</v>
      </c>
      <c r="G21" t="s">
        <v>239</v>
      </c>
      <c r="H21" s="16">
        <v>3</v>
      </c>
      <c r="I21" s="16">
        <v>6</v>
      </c>
      <c r="J21" s="16">
        <v>0.38</v>
      </c>
      <c r="K21" s="16">
        <v>1.26</v>
      </c>
    </row>
    <row r="22" spans="2:11" x14ac:dyDescent="0.25">
      <c r="B22" t="s">
        <v>244</v>
      </c>
      <c r="C22" t="s">
        <v>241</v>
      </c>
      <c r="D22" t="s">
        <v>301</v>
      </c>
      <c r="E22" t="s">
        <v>206</v>
      </c>
      <c r="F22" t="s">
        <v>98</v>
      </c>
      <c r="G22" t="s">
        <v>243</v>
      </c>
      <c r="H22" s="16">
        <v>3</v>
      </c>
      <c r="I22" s="16">
        <v>6</v>
      </c>
      <c r="J22" s="16">
        <v>0.37</v>
      </c>
      <c r="K22" s="16">
        <v>1.26</v>
      </c>
    </row>
    <row r="23" spans="2:11" x14ac:dyDescent="0.25">
      <c r="B23" t="s">
        <v>248</v>
      </c>
      <c r="C23" t="s">
        <v>245</v>
      </c>
      <c r="D23" t="s">
        <v>301</v>
      </c>
      <c r="E23" t="s">
        <v>164</v>
      </c>
      <c r="F23" t="s">
        <v>98</v>
      </c>
      <c r="G23" t="s">
        <v>247</v>
      </c>
      <c r="H23" s="16">
        <v>3</v>
      </c>
      <c r="I23" s="16">
        <v>6</v>
      </c>
      <c r="J23" s="16">
        <v>0.37</v>
      </c>
      <c r="K23" s="16">
        <v>1.26</v>
      </c>
    </row>
    <row r="24" spans="2:11" x14ac:dyDescent="0.25">
      <c r="B24" t="s">
        <v>259</v>
      </c>
      <c r="C24" t="s">
        <v>256</v>
      </c>
      <c r="D24" t="s">
        <v>301</v>
      </c>
      <c r="E24" t="s">
        <v>142</v>
      </c>
      <c r="F24" t="s">
        <v>98</v>
      </c>
      <c r="G24" t="s">
        <v>258</v>
      </c>
      <c r="H24" s="16">
        <v>3.9</v>
      </c>
      <c r="I24" s="16">
        <v>7.8</v>
      </c>
      <c r="J24" s="16">
        <v>0.49</v>
      </c>
      <c r="K24" s="16">
        <v>1.64</v>
      </c>
    </row>
    <row r="25" spans="2:11" x14ac:dyDescent="0.25">
      <c r="B25" t="s">
        <v>273</v>
      </c>
      <c r="C25" t="s">
        <v>270</v>
      </c>
      <c r="D25" t="s">
        <v>301</v>
      </c>
      <c r="E25" t="s">
        <v>206</v>
      </c>
      <c r="F25" t="s">
        <v>98</v>
      </c>
      <c r="G25" t="s">
        <v>272</v>
      </c>
      <c r="H25" s="16">
        <v>6</v>
      </c>
      <c r="I25" s="16">
        <v>10</v>
      </c>
      <c r="J25" s="16">
        <v>0.67</v>
      </c>
      <c r="K25" s="16">
        <v>2.25</v>
      </c>
    </row>
    <row r="26" spans="2:11" x14ac:dyDescent="0.25">
      <c r="B26" t="s">
        <v>201</v>
      </c>
      <c r="C26" t="s">
        <v>199</v>
      </c>
      <c r="D26" t="s">
        <v>300</v>
      </c>
      <c r="E26" t="s">
        <v>142</v>
      </c>
      <c r="F26" t="s">
        <v>99</v>
      </c>
      <c r="G26" t="s">
        <v>43</v>
      </c>
      <c r="H26" s="16">
        <v>6.55</v>
      </c>
      <c r="I26" s="16">
        <v>13.1</v>
      </c>
      <c r="J26" s="16">
        <v>0.82</v>
      </c>
      <c r="K26" s="16">
        <v>2.76</v>
      </c>
    </row>
    <row r="27" spans="2:11" x14ac:dyDescent="0.25">
      <c r="B27" t="s">
        <v>279</v>
      </c>
      <c r="C27" t="s">
        <v>277</v>
      </c>
      <c r="D27" t="s">
        <v>302</v>
      </c>
      <c r="E27" t="s">
        <v>142</v>
      </c>
      <c r="F27" t="s">
        <v>100</v>
      </c>
      <c r="G27" t="s">
        <v>43</v>
      </c>
      <c r="H27" s="16">
        <v>2</v>
      </c>
      <c r="I27" s="16">
        <v>4</v>
      </c>
      <c r="J27" s="16">
        <v>0</v>
      </c>
      <c r="K27" s="16">
        <v>0</v>
      </c>
    </row>
    <row r="28" spans="2:11" x14ac:dyDescent="0.25">
      <c r="B28" t="s">
        <v>264</v>
      </c>
      <c r="C28" t="s">
        <v>262</v>
      </c>
      <c r="D28" t="s">
        <v>301</v>
      </c>
      <c r="E28" t="s">
        <v>142</v>
      </c>
      <c r="F28" t="s">
        <v>100</v>
      </c>
      <c r="G28" t="s">
        <v>43</v>
      </c>
      <c r="H28" s="16">
        <v>4</v>
      </c>
      <c r="I28" s="16">
        <v>8</v>
      </c>
      <c r="J28" s="16">
        <v>0</v>
      </c>
      <c r="K28" s="16">
        <v>0</v>
      </c>
    </row>
    <row r="29" spans="2:11" x14ac:dyDescent="0.25">
      <c r="B29" t="s">
        <v>286</v>
      </c>
      <c r="C29" t="s">
        <v>284</v>
      </c>
      <c r="D29" t="s">
        <v>283</v>
      </c>
      <c r="E29" t="s">
        <v>142</v>
      </c>
      <c r="F29" t="s">
        <v>100</v>
      </c>
      <c r="G29" t="s">
        <v>43</v>
      </c>
      <c r="H29" s="16">
        <v>4</v>
      </c>
      <c r="I29" s="16">
        <v>8</v>
      </c>
      <c r="J29" s="16">
        <v>0</v>
      </c>
      <c r="K29" s="16">
        <v>0</v>
      </c>
    </row>
    <row r="30" spans="2:11" x14ac:dyDescent="0.25">
      <c r="B30" t="s">
        <v>291</v>
      </c>
      <c r="C30" t="s">
        <v>289</v>
      </c>
      <c r="D30" t="s">
        <v>288</v>
      </c>
      <c r="E30" t="s">
        <v>142</v>
      </c>
      <c r="F30" t="s">
        <v>98</v>
      </c>
      <c r="G30" t="s">
        <v>43</v>
      </c>
      <c r="H30" s="16">
        <v>2.88</v>
      </c>
      <c r="I30" s="16">
        <v>5.76</v>
      </c>
      <c r="J30" s="16">
        <v>0.36</v>
      </c>
      <c r="K30" s="16">
        <v>1.21</v>
      </c>
    </row>
    <row r="31" spans="3:11" x14ac:dyDescent="0.25">
      <c r="C31" s="39" t="s">
        <v>303</v>
      </c>
      <c r="H31" s="17">
        <f>SUBTOTAL(9,H5:H30)</f>
        <v>158.77</v>
      </c>
      <c r="I31" s="17">
        <f>SUBTOTAL(9,I5:I30)</f>
        <v>279.72</v>
      </c>
      <c r="J31" s="17">
        <f>SUBTOTAL(9,J5:J30)</f>
        <v>17.03</v>
      </c>
      <c r="K31" s="17">
        <f>SUBTOTAL(9,K5:K30)</f>
        <v>57.32</v>
      </c>
    </row>
  </sheetData>
  <autoFilter ref="B4:K30"/>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FormatPr defaultRowHeight="15" outlineLevelRow="0" outlineLevelCol="0" x14ac:dyDescent="55"/>
  <cols>
    <col min="2" max="2" width="30" customWidth="1"/>
    <col min="3" max="3" width="50" customWidth="1"/>
    <col min="4" max="5" width="12" customWidth="1"/>
  </cols>
  <sheetData>
    <row r="2" spans="2:3" x14ac:dyDescent="0.25">
      <c r="B2" s="39" t="s">
        <v>68</v>
      </c>
      <c r="C2" t="s">
        <v>304</v>
      </c>
    </row>
    <row r="3" spans="2:3" x14ac:dyDescent="0.25">
      <c r="B3" s="39" t="s">
        <v>70</v>
      </c>
      <c r="C3" t="s">
        <v>71</v>
      </c>
    </row>
    <row r="4" spans="2:3" x14ac:dyDescent="0.25">
      <c r="B4" s="39" t="s">
        <v>305</v>
      </c>
      <c r="C4" t="s">
        <v>306</v>
      </c>
    </row>
    <row r="5" spans="2:3" x14ac:dyDescent="0.25">
      <c r="B5" s="39" t="s">
        <v>307</v>
      </c>
      <c r="C5" t="s">
        <v>308</v>
      </c>
    </row>
    <row r="6" spans="2:3" x14ac:dyDescent="0.25">
      <c r="B6" s="39" t="s">
        <v>309</v>
      </c>
      <c r="C6">
        <v>15</v>
      </c>
    </row>
    <row r="7" spans="2:3" x14ac:dyDescent="0.25">
      <c r="B7" s="39" t="s">
        <v>310</v>
      </c>
      <c r="C7">
        <v>4</v>
      </c>
    </row>
    <row r="8" spans="2:3" x14ac:dyDescent="0.25">
      <c r="B8" s="39" t="s">
        <v>311</v>
      </c>
      <c r="C8" t="s">
        <v>312</v>
      </c>
    </row>
    <row r="9" spans="2:3" x14ac:dyDescent="0.25">
      <c r="B9" s="39" t="s">
        <v>313</v>
      </c>
      <c r="C9" t="s">
        <v>314</v>
      </c>
    </row>
    <row r="10" spans="2:3" x14ac:dyDescent="0.25">
      <c r="B10" s="39" t="s">
        <v>315</v>
      </c>
      <c r="C10" t="s">
        <v>316</v>
      </c>
    </row>
    <row r="11" spans="2:3" x14ac:dyDescent="0.25">
      <c r="B11" s="39" t="s">
        <v>317</v>
      </c>
      <c r="C11" t="s">
        <v>318</v>
      </c>
    </row>
    <row r="12" spans="2:3" x14ac:dyDescent="0.25">
      <c r="B12" s="39" t="s">
        <v>95</v>
      </c>
      <c r="C12" t="s">
        <v>96</v>
      </c>
    </row>
    <row r="14" spans="2:5" x14ac:dyDescent="0.25">
      <c r="B14" s="38" t="s">
        <v>319</v>
      </c>
      <c r="C14" s="38" t="s">
        <v>76</v>
      </c>
      <c r="D14" s="38" t="s">
        <v>320</v>
      </c>
      <c r="E14" s="38" t="s">
        <v>321</v>
      </c>
    </row>
    <row r="15" spans="2:5" x14ac:dyDescent="0.25">
      <c r="B15" t="s">
        <v>322</v>
      </c>
      <c r="C15" t="s">
        <v>78</v>
      </c>
      <c r="D15">
        <v>4</v>
      </c>
      <c r="E15">
        <v>0</v>
      </c>
    </row>
    <row r="16" spans="2:5" x14ac:dyDescent="0.25">
      <c r="B16" t="s">
        <v>323</v>
      </c>
      <c r="C16" t="s">
        <v>78</v>
      </c>
      <c r="D16">
        <v>4</v>
      </c>
      <c r="E16">
        <v>0</v>
      </c>
    </row>
    <row r="17" spans="2:5" x14ac:dyDescent="0.25">
      <c r="B17" t="s">
        <v>324</v>
      </c>
      <c r="C17" t="s">
        <v>81</v>
      </c>
      <c r="D17">
        <v>2</v>
      </c>
      <c r="E17">
        <v>0</v>
      </c>
    </row>
    <row r="18" spans="2:5" x14ac:dyDescent="0.25">
      <c r="B18" t="s">
        <v>325</v>
      </c>
      <c r="C18" t="s">
        <v>83</v>
      </c>
      <c r="D18">
        <v>0</v>
      </c>
      <c r="E18">
        <v>3</v>
      </c>
    </row>
    <row r="19" spans="2:5" x14ac:dyDescent="0.25">
      <c r="B19" t="s">
        <v>326</v>
      </c>
      <c r="C19" t="s">
        <v>85</v>
      </c>
      <c r="D19">
        <v>0</v>
      </c>
      <c r="E19">
        <v>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9"/>
  <sheetFormatPr defaultRowHeight="15" outlineLevelRow="0" outlineLevelCol="0" x14ac:dyDescent="55"/>
  <cols>
    <col min="2" max="2" width="10" customWidth="1"/>
    <col min="3" max="3" width="40" customWidth="1"/>
    <col min="4" max="5" width="10" customWidth="1"/>
    <col min="6" max="6" width="60" customWidth="1"/>
  </cols>
  <sheetData>
    <row r="1" spans="2:2" x14ac:dyDescent="0.25">
      <c r="B1" s="37" t="s">
        <v>327</v>
      </c>
    </row>
    <row r="2" spans="2:6" x14ac:dyDescent="0.25">
      <c r="B2" s="38" t="s">
        <v>139</v>
      </c>
      <c r="C2" s="38" t="s">
        <v>328</v>
      </c>
      <c r="D2" s="38" t="s">
        <v>329</v>
      </c>
      <c r="E2" s="38" t="s">
        <v>330</v>
      </c>
      <c r="F2" s="38" t="s">
        <v>331</v>
      </c>
    </row>
    <row r="3" spans="2:6" x14ac:dyDescent="0.25">
      <c r="B3" t="s">
        <v>145</v>
      </c>
      <c r="C3" t="s">
        <v>143</v>
      </c>
      <c r="D3" s="16">
        <v>17.47</v>
      </c>
      <c r="E3" s="16">
        <v>30.58</v>
      </c>
      <c r="F3" t="s">
        <v>332</v>
      </c>
    </row>
    <row r="4" spans="2:6" x14ac:dyDescent="0.25">
      <c r="B4" t="s">
        <v>159</v>
      </c>
      <c r="C4" t="s">
        <v>156</v>
      </c>
      <c r="D4" s="16">
        <v>2.16</v>
      </c>
      <c r="E4" s="16">
        <v>4.32</v>
      </c>
      <c r="F4" t="s">
        <v>333</v>
      </c>
    </row>
    <row r="5" spans="2:6" x14ac:dyDescent="0.25">
      <c r="B5" t="s">
        <v>168</v>
      </c>
      <c r="C5" t="s">
        <v>165</v>
      </c>
      <c r="D5" s="16">
        <v>13.1</v>
      </c>
      <c r="E5" s="16">
        <v>20.97</v>
      </c>
      <c r="F5" t="s">
        <v>334</v>
      </c>
    </row>
    <row r="6" spans="2:6" x14ac:dyDescent="0.25">
      <c r="B6" t="s">
        <v>150</v>
      </c>
      <c r="C6" t="s">
        <v>147</v>
      </c>
      <c r="D6" s="16">
        <v>3.51</v>
      </c>
      <c r="E6" s="16">
        <v>7.02</v>
      </c>
      <c r="F6" t="s">
        <v>335</v>
      </c>
    </row>
    <row r="7" spans="2:6" x14ac:dyDescent="0.25">
      <c r="B7" t="s">
        <v>163</v>
      </c>
      <c r="C7" t="s">
        <v>160</v>
      </c>
      <c r="D7" s="16">
        <v>11.52</v>
      </c>
      <c r="E7" s="16">
        <v>20.16</v>
      </c>
      <c r="F7" t="s">
        <v>336</v>
      </c>
    </row>
    <row r="8" spans="2:6" x14ac:dyDescent="0.25">
      <c r="B8" t="s">
        <v>198</v>
      </c>
      <c r="C8" t="s">
        <v>195</v>
      </c>
      <c r="D8" s="16">
        <v>4.8</v>
      </c>
      <c r="E8" s="16">
        <v>8.4</v>
      </c>
      <c r="F8" t="s">
        <v>337</v>
      </c>
    </row>
    <row r="9" spans="2:6" x14ac:dyDescent="0.25">
      <c r="B9" t="s">
        <v>210</v>
      </c>
      <c r="C9" t="s">
        <v>207</v>
      </c>
      <c r="D9" s="16">
        <v>7.02</v>
      </c>
      <c r="E9" s="16">
        <v>11.7</v>
      </c>
      <c r="F9" t="s">
        <v>338</v>
      </c>
    </row>
    <row r="10" spans="2:6" x14ac:dyDescent="0.25">
      <c r="B10" t="s">
        <v>205</v>
      </c>
      <c r="C10" t="s">
        <v>202</v>
      </c>
      <c r="D10" s="16">
        <v>6</v>
      </c>
      <c r="E10" s="16">
        <v>10</v>
      </c>
      <c r="F10" t="s">
        <v>339</v>
      </c>
    </row>
    <row r="11" spans="2:6" x14ac:dyDescent="0.25">
      <c r="B11" t="s">
        <v>214</v>
      </c>
      <c r="C11" t="s">
        <v>211</v>
      </c>
      <c r="D11" s="16">
        <v>19.6</v>
      </c>
      <c r="E11" s="16">
        <v>30.8</v>
      </c>
      <c r="F11" t="s">
        <v>340</v>
      </c>
    </row>
    <row r="12" spans="2:6" x14ac:dyDescent="0.25">
      <c r="B12" t="s">
        <v>218</v>
      </c>
      <c r="C12" t="s">
        <v>215</v>
      </c>
      <c r="D12" s="16">
        <v>5.04</v>
      </c>
      <c r="E12" s="16">
        <v>8.4</v>
      </c>
      <c r="F12" t="s">
        <v>341</v>
      </c>
    </row>
    <row r="13" spans="2:6" x14ac:dyDescent="0.25">
      <c r="B13" t="s">
        <v>226</v>
      </c>
      <c r="C13" t="s">
        <v>223</v>
      </c>
      <c r="D13" s="16">
        <v>7</v>
      </c>
      <c r="E13" s="16">
        <v>11.2</v>
      </c>
      <c r="F13" t="s">
        <v>342</v>
      </c>
    </row>
    <row r="14" spans="2:6" x14ac:dyDescent="0.25">
      <c r="B14" t="s">
        <v>240</v>
      </c>
      <c r="C14" t="s">
        <v>237</v>
      </c>
      <c r="D14" s="16">
        <v>3</v>
      </c>
      <c r="E14" s="16">
        <v>6</v>
      </c>
      <c r="F14" t="s">
        <v>343</v>
      </c>
    </row>
    <row r="15" spans="2:6" x14ac:dyDescent="0.25">
      <c r="B15" t="s">
        <v>273</v>
      </c>
      <c r="C15" t="s">
        <v>270</v>
      </c>
      <c r="D15" s="16">
        <v>6</v>
      </c>
      <c r="E15" s="16">
        <v>10</v>
      </c>
      <c r="F15" t="s">
        <v>344</v>
      </c>
    </row>
    <row r="16" spans="2:6" x14ac:dyDescent="0.25">
      <c r="B16" t="s">
        <v>201</v>
      </c>
      <c r="C16" t="s">
        <v>199</v>
      </c>
      <c r="D16" s="16">
        <v>6.55</v>
      </c>
      <c r="E16" s="16">
        <v>13.1</v>
      </c>
      <c r="F16" t="s">
        <v>345</v>
      </c>
    </row>
    <row r="17" spans="2:6" x14ac:dyDescent="0.25">
      <c r="B17" t="s">
        <v>279</v>
      </c>
      <c r="C17" t="s">
        <v>277</v>
      </c>
      <c r="D17" s="16">
        <v>2</v>
      </c>
      <c r="E17" s="16">
        <v>4</v>
      </c>
      <c r="F17" t="s">
        <v>346</v>
      </c>
    </row>
    <row r="18" spans="2:6" x14ac:dyDescent="0.25">
      <c r="B18" t="s">
        <v>264</v>
      </c>
      <c r="C18" t="s">
        <v>262</v>
      </c>
      <c r="D18" s="16">
        <v>4</v>
      </c>
      <c r="E18" s="16">
        <v>8</v>
      </c>
      <c r="F18" t="s">
        <v>347</v>
      </c>
    </row>
    <row r="19" spans="2:6" x14ac:dyDescent="0.25">
      <c r="B19" t="s">
        <v>286</v>
      </c>
      <c r="C19" t="s">
        <v>284</v>
      </c>
      <c r="D19" s="16">
        <v>4</v>
      </c>
      <c r="E19" s="16">
        <v>8</v>
      </c>
      <c r="F19" t="s">
        <v>348</v>
      </c>
    </row>
    <row r="20" spans="2:6" x14ac:dyDescent="0.25">
      <c r="B20" t="s">
        <v>291</v>
      </c>
      <c r="C20" t="s">
        <v>289</v>
      </c>
      <c r="D20" s="16">
        <v>2.88</v>
      </c>
      <c r="E20" s="16">
        <v>5.76</v>
      </c>
      <c r="F20" t="s">
        <v>349</v>
      </c>
    </row>
    <row r="23" spans="2:10" x14ac:dyDescent="0.25">
      <c r="B23" s="38" t="s">
        <v>139</v>
      </c>
      <c r="C23" s="38" t="s">
        <v>328</v>
      </c>
      <c r="D23" s="38" t="s">
        <v>350</v>
      </c>
      <c r="E23" s="38" t="s">
        <v>351</v>
      </c>
      <c r="F23" s="38" t="s">
        <v>352</v>
      </c>
      <c r="G23" s="38" t="s">
        <v>329</v>
      </c>
      <c r="H23" s="38" t="s">
        <v>330</v>
      </c>
      <c r="I23" s="38" t="s">
        <v>93</v>
      </c>
      <c r="J23" s="38" t="s">
        <v>353</v>
      </c>
    </row>
    <row r="24" spans="2:10" x14ac:dyDescent="0.25">
      <c r="B24" t="s">
        <v>145</v>
      </c>
      <c r="C24" t="s">
        <v>143</v>
      </c>
      <c r="D24" t="s">
        <v>145</v>
      </c>
      <c r="E24">
        <v>1</v>
      </c>
      <c r="F24" t="s">
        <v>332</v>
      </c>
      <c r="G24" s="16">
        <v>17.47</v>
      </c>
      <c r="H24" s="16">
        <v>30.58</v>
      </c>
      <c r="I24" t="s">
        <v>354</v>
      </c>
      <c r="J24" t="s">
        <v>43</v>
      </c>
    </row>
    <row r="25" spans="2:10" x14ac:dyDescent="0.25">
      <c r="B25" t="s">
        <v>159</v>
      </c>
      <c r="C25" t="s">
        <v>156</v>
      </c>
      <c r="D25" t="s">
        <v>159</v>
      </c>
      <c r="E25">
        <v>1</v>
      </c>
      <c r="F25" t="s">
        <v>333</v>
      </c>
      <c r="G25" s="16">
        <v>2.16</v>
      </c>
      <c r="H25" s="16">
        <v>4.32</v>
      </c>
      <c r="I25" t="s">
        <v>355</v>
      </c>
      <c r="J25" t="s">
        <v>43</v>
      </c>
    </row>
    <row r="26" spans="2:10" x14ac:dyDescent="0.25">
      <c r="B26" t="s">
        <v>168</v>
      </c>
      <c r="C26" t="s">
        <v>165</v>
      </c>
      <c r="D26" t="s">
        <v>168</v>
      </c>
      <c r="E26">
        <v>1</v>
      </c>
      <c r="F26" t="s">
        <v>334</v>
      </c>
      <c r="G26" s="16">
        <v>13.1</v>
      </c>
      <c r="H26" s="16">
        <v>20.97</v>
      </c>
      <c r="I26" t="s">
        <v>354</v>
      </c>
      <c r="J26" t="s">
        <v>43</v>
      </c>
    </row>
    <row r="27" spans="2:10" x14ac:dyDescent="0.25">
      <c r="B27" t="s">
        <v>150</v>
      </c>
      <c r="C27" t="s">
        <v>147</v>
      </c>
      <c r="D27" t="s">
        <v>150</v>
      </c>
      <c r="E27">
        <v>1</v>
      </c>
      <c r="F27" t="s">
        <v>335</v>
      </c>
      <c r="G27" s="16">
        <v>3.9</v>
      </c>
      <c r="H27" s="16">
        <v>7.8</v>
      </c>
      <c r="I27" t="s">
        <v>355</v>
      </c>
      <c r="J27" t="s">
        <v>356</v>
      </c>
    </row>
    <row r="28" spans="2:10" x14ac:dyDescent="0.25">
      <c r="B28" t="s">
        <v>154</v>
      </c>
      <c r="C28" t="s">
        <v>151</v>
      </c>
      <c r="D28" t="s">
        <v>150</v>
      </c>
      <c r="E28">
        <v>0.462</v>
      </c>
      <c r="F28" t="s">
        <v>357</v>
      </c>
      <c r="G28" s="16">
        <v>1.62</v>
      </c>
      <c r="H28" s="16">
        <v>3.24</v>
      </c>
      <c r="I28" t="s">
        <v>355</v>
      </c>
      <c r="J28" t="s">
        <v>43</v>
      </c>
    </row>
    <row r="29" spans="2:10" x14ac:dyDescent="0.25">
      <c r="B29" t="s">
        <v>163</v>
      </c>
      <c r="C29" t="s">
        <v>160</v>
      </c>
      <c r="D29" t="s">
        <v>163</v>
      </c>
      <c r="E29">
        <v>1</v>
      </c>
      <c r="F29" t="s">
        <v>336</v>
      </c>
      <c r="G29" s="16">
        <v>12.8</v>
      </c>
      <c r="H29" s="16">
        <v>22.4</v>
      </c>
      <c r="I29" t="s">
        <v>355</v>
      </c>
      <c r="J29" t="s">
        <v>356</v>
      </c>
    </row>
    <row r="30" spans="2:10" x14ac:dyDescent="0.25">
      <c r="B30" t="s">
        <v>172</v>
      </c>
      <c r="C30" t="s">
        <v>169</v>
      </c>
      <c r="D30" t="s">
        <v>150</v>
      </c>
      <c r="E30">
        <v>0.769</v>
      </c>
      <c r="F30" t="s">
        <v>358</v>
      </c>
      <c r="G30" s="16">
        <v>2.7</v>
      </c>
      <c r="H30" s="16">
        <v>5.4</v>
      </c>
      <c r="I30" t="s">
        <v>355</v>
      </c>
      <c r="J30" t="s">
        <v>43</v>
      </c>
    </row>
    <row r="31" spans="2:10" x14ac:dyDescent="0.25">
      <c r="B31" t="s">
        <v>176</v>
      </c>
      <c r="C31" t="s">
        <v>173</v>
      </c>
      <c r="D31" t="s">
        <v>150</v>
      </c>
      <c r="E31">
        <v>0.462</v>
      </c>
      <c r="F31" t="s">
        <v>359</v>
      </c>
      <c r="G31" s="16">
        <v>1.62</v>
      </c>
      <c r="H31" s="16">
        <v>3.24</v>
      </c>
      <c r="I31" t="s">
        <v>355</v>
      </c>
      <c r="J31" t="s">
        <v>43</v>
      </c>
    </row>
    <row r="32" spans="2:10" x14ac:dyDescent="0.25">
      <c r="B32" t="s">
        <v>180</v>
      </c>
      <c r="C32" t="s">
        <v>177</v>
      </c>
      <c r="D32" t="s">
        <v>163</v>
      </c>
      <c r="E32">
        <v>0.625</v>
      </c>
      <c r="F32" t="s">
        <v>360</v>
      </c>
      <c r="G32" s="16">
        <v>7.21</v>
      </c>
      <c r="H32" s="16">
        <v>12.61</v>
      </c>
      <c r="I32" t="s">
        <v>355</v>
      </c>
      <c r="J32" t="s">
        <v>356</v>
      </c>
    </row>
    <row r="33" spans="2:10" x14ac:dyDescent="0.25">
      <c r="B33" t="s">
        <v>198</v>
      </c>
      <c r="C33" t="s">
        <v>195</v>
      </c>
      <c r="D33" t="s">
        <v>198</v>
      </c>
      <c r="E33">
        <v>1</v>
      </c>
      <c r="F33" t="s">
        <v>337</v>
      </c>
      <c r="G33" s="16">
        <v>4.8</v>
      </c>
      <c r="H33" s="16">
        <v>8.4</v>
      </c>
      <c r="I33" t="s">
        <v>355</v>
      </c>
      <c r="J33" t="s">
        <v>43</v>
      </c>
    </row>
    <row r="34" spans="2:10" x14ac:dyDescent="0.25">
      <c r="B34" t="s">
        <v>210</v>
      </c>
      <c r="C34" t="s">
        <v>207</v>
      </c>
      <c r="D34" t="s">
        <v>210</v>
      </c>
      <c r="E34">
        <v>1</v>
      </c>
      <c r="F34" t="s">
        <v>338</v>
      </c>
      <c r="G34" s="16">
        <v>7.02</v>
      </c>
      <c r="H34" s="16">
        <v>11.7</v>
      </c>
      <c r="I34" t="s">
        <v>355</v>
      </c>
      <c r="J34" t="s">
        <v>43</v>
      </c>
    </row>
    <row r="35" spans="2:10" x14ac:dyDescent="0.25">
      <c r="B35" t="s">
        <v>205</v>
      </c>
      <c r="C35" t="s">
        <v>202</v>
      </c>
      <c r="D35" t="s">
        <v>205</v>
      </c>
      <c r="E35">
        <v>1</v>
      </c>
      <c r="F35" t="s">
        <v>339</v>
      </c>
      <c r="G35" s="16">
        <v>6</v>
      </c>
      <c r="H35" s="16">
        <v>10</v>
      </c>
      <c r="I35" t="s">
        <v>355</v>
      </c>
      <c r="J35" t="s">
        <v>43</v>
      </c>
    </row>
    <row r="36" spans="2:10" x14ac:dyDescent="0.25">
      <c r="B36" t="s">
        <v>214</v>
      </c>
      <c r="C36" t="s">
        <v>211</v>
      </c>
      <c r="D36" t="s">
        <v>214</v>
      </c>
      <c r="E36">
        <v>1</v>
      </c>
      <c r="F36" t="s">
        <v>340</v>
      </c>
      <c r="G36" s="16">
        <v>19.6</v>
      </c>
      <c r="H36" s="16">
        <v>30.8</v>
      </c>
      <c r="I36" t="s">
        <v>355</v>
      </c>
      <c r="J36" t="s">
        <v>43</v>
      </c>
    </row>
    <row r="37" spans="2:10" x14ac:dyDescent="0.25">
      <c r="B37" t="s">
        <v>218</v>
      </c>
      <c r="C37" t="s">
        <v>215</v>
      </c>
      <c r="D37" t="s">
        <v>218</v>
      </c>
      <c r="E37">
        <v>1</v>
      </c>
      <c r="F37" t="s">
        <v>341</v>
      </c>
      <c r="G37" s="16">
        <v>5.04</v>
      </c>
      <c r="H37" s="16">
        <v>8.4</v>
      </c>
      <c r="I37" t="s">
        <v>355</v>
      </c>
      <c r="J37" t="s">
        <v>43</v>
      </c>
    </row>
    <row r="38" spans="2:10" x14ac:dyDescent="0.25">
      <c r="B38" t="s">
        <v>222</v>
      </c>
      <c r="C38" t="s">
        <v>219</v>
      </c>
      <c r="D38" t="s">
        <v>205</v>
      </c>
      <c r="E38">
        <v>1.4</v>
      </c>
      <c r="F38" t="s">
        <v>361</v>
      </c>
      <c r="G38" s="16">
        <v>8.4</v>
      </c>
      <c r="H38" s="16">
        <v>14</v>
      </c>
      <c r="I38" t="s">
        <v>355</v>
      </c>
      <c r="J38" t="s">
        <v>43</v>
      </c>
    </row>
    <row r="39" spans="2:10" x14ac:dyDescent="0.25">
      <c r="B39" t="s">
        <v>226</v>
      </c>
      <c r="C39" t="s">
        <v>223</v>
      </c>
      <c r="D39" t="s">
        <v>226</v>
      </c>
      <c r="E39">
        <v>1</v>
      </c>
      <c r="F39" t="s">
        <v>342</v>
      </c>
      <c r="G39" s="16">
        <v>7</v>
      </c>
      <c r="H39" s="16">
        <v>11.2</v>
      </c>
      <c r="I39" t="s">
        <v>355</v>
      </c>
      <c r="J39" t="s">
        <v>43</v>
      </c>
    </row>
    <row r="40" spans="2:10" x14ac:dyDescent="0.25">
      <c r="B40" t="s">
        <v>240</v>
      </c>
      <c r="C40" t="s">
        <v>237</v>
      </c>
      <c r="D40" t="s">
        <v>240</v>
      </c>
      <c r="E40">
        <v>1</v>
      </c>
      <c r="F40" t="s">
        <v>343</v>
      </c>
      <c r="G40" s="16">
        <v>3</v>
      </c>
      <c r="H40" s="16">
        <v>6</v>
      </c>
      <c r="I40" t="s">
        <v>355</v>
      </c>
      <c r="J40" t="s">
        <v>43</v>
      </c>
    </row>
    <row r="41" spans="2:10" x14ac:dyDescent="0.25">
      <c r="B41" t="s">
        <v>244</v>
      </c>
      <c r="C41" t="s">
        <v>241</v>
      </c>
      <c r="D41" t="s">
        <v>240</v>
      </c>
      <c r="E41">
        <v>1</v>
      </c>
      <c r="F41" t="s">
        <v>362</v>
      </c>
      <c r="G41" s="16">
        <v>3</v>
      </c>
      <c r="H41" s="16">
        <v>6</v>
      </c>
      <c r="I41" t="s">
        <v>355</v>
      </c>
      <c r="J41" t="s">
        <v>43</v>
      </c>
    </row>
    <row r="42" spans="2:10" x14ac:dyDescent="0.25">
      <c r="B42" t="s">
        <v>248</v>
      </c>
      <c r="C42" t="s">
        <v>245</v>
      </c>
      <c r="D42" t="s">
        <v>240</v>
      </c>
      <c r="E42">
        <v>1</v>
      </c>
      <c r="F42" t="s">
        <v>363</v>
      </c>
      <c r="G42" s="16">
        <v>3</v>
      </c>
      <c r="H42" s="16">
        <v>6</v>
      </c>
      <c r="I42" t="s">
        <v>355</v>
      </c>
      <c r="J42" t="s">
        <v>43</v>
      </c>
    </row>
    <row r="43" spans="2:10" x14ac:dyDescent="0.25">
      <c r="B43" t="s">
        <v>259</v>
      </c>
      <c r="C43" t="s">
        <v>256</v>
      </c>
      <c r="D43" t="s">
        <v>240</v>
      </c>
      <c r="E43">
        <v>1.3</v>
      </c>
      <c r="F43" t="s">
        <v>364</v>
      </c>
      <c r="G43" s="16">
        <v>3.9</v>
      </c>
      <c r="H43" s="16">
        <v>7.8</v>
      </c>
      <c r="I43" t="s">
        <v>355</v>
      </c>
      <c r="J43" t="s">
        <v>43</v>
      </c>
    </row>
    <row r="44" spans="2:10" x14ac:dyDescent="0.25">
      <c r="B44" t="s">
        <v>273</v>
      </c>
      <c r="C44" t="s">
        <v>270</v>
      </c>
      <c r="D44" t="s">
        <v>273</v>
      </c>
      <c r="E44">
        <v>1</v>
      </c>
      <c r="F44" t="s">
        <v>344</v>
      </c>
      <c r="G44" s="16">
        <v>6</v>
      </c>
      <c r="H44" s="16">
        <v>10</v>
      </c>
      <c r="I44" t="s">
        <v>355</v>
      </c>
      <c r="J44" t="s">
        <v>43</v>
      </c>
    </row>
    <row r="45" spans="2:10" x14ac:dyDescent="0.25">
      <c r="B45" t="s">
        <v>201</v>
      </c>
      <c r="C45" t="s">
        <v>199</v>
      </c>
      <c r="D45" t="s">
        <v>201</v>
      </c>
      <c r="E45">
        <v>1</v>
      </c>
      <c r="F45" t="s">
        <v>345</v>
      </c>
      <c r="G45" s="16">
        <v>6.55</v>
      </c>
      <c r="H45" s="16">
        <v>13.1</v>
      </c>
      <c r="I45" t="s">
        <v>354</v>
      </c>
      <c r="J45" t="s">
        <v>43</v>
      </c>
    </row>
    <row r="46" spans="2:10" x14ac:dyDescent="0.25">
      <c r="B46" t="s">
        <v>279</v>
      </c>
      <c r="C46" t="s">
        <v>277</v>
      </c>
      <c r="D46" t="s">
        <v>279</v>
      </c>
      <c r="E46">
        <v>1</v>
      </c>
      <c r="F46" t="s">
        <v>346</v>
      </c>
      <c r="G46" s="16">
        <v>2</v>
      </c>
      <c r="H46" s="16">
        <v>4</v>
      </c>
      <c r="I46" t="s">
        <v>365</v>
      </c>
      <c r="J46" t="s">
        <v>43</v>
      </c>
    </row>
    <row r="47" spans="2:10" x14ac:dyDescent="0.25">
      <c r="B47" t="s">
        <v>264</v>
      </c>
      <c r="C47" t="s">
        <v>262</v>
      </c>
      <c r="D47" t="s">
        <v>264</v>
      </c>
      <c r="E47">
        <v>1</v>
      </c>
      <c r="F47" t="s">
        <v>347</v>
      </c>
      <c r="G47" s="16">
        <v>4</v>
      </c>
      <c r="H47" s="16">
        <v>8</v>
      </c>
      <c r="I47" t="s">
        <v>365</v>
      </c>
      <c r="J47" t="s">
        <v>43</v>
      </c>
    </row>
    <row r="48" spans="2:10" x14ac:dyDescent="0.25">
      <c r="B48" t="s">
        <v>286</v>
      </c>
      <c r="C48" t="s">
        <v>284</v>
      </c>
      <c r="D48" t="s">
        <v>286</v>
      </c>
      <c r="E48">
        <v>1</v>
      </c>
      <c r="F48" t="s">
        <v>348</v>
      </c>
      <c r="G48" s="16">
        <v>4</v>
      </c>
      <c r="H48" s="16">
        <v>8</v>
      </c>
      <c r="I48" t="s">
        <v>365</v>
      </c>
      <c r="J48" t="s">
        <v>43</v>
      </c>
    </row>
    <row r="49" spans="2:10" x14ac:dyDescent="0.25">
      <c r="B49" t="s">
        <v>291</v>
      </c>
      <c r="C49" t="s">
        <v>289</v>
      </c>
      <c r="D49" t="s">
        <v>291</v>
      </c>
      <c r="E49">
        <v>1</v>
      </c>
      <c r="F49" t="s">
        <v>349</v>
      </c>
      <c r="G49" s="16">
        <v>2.88</v>
      </c>
      <c r="H49" s="16">
        <v>5.76</v>
      </c>
      <c r="I49" t="s">
        <v>355</v>
      </c>
      <c r="J49" t="s">
        <v>356</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3"/>
  <sheetFormatPr defaultRowHeight="15" outlineLevelRow="0" outlineLevelCol="0" x14ac:dyDescent="55"/>
  <cols>
    <col min="2" max="2" width="14" customWidth="1"/>
    <col min="3" max="3" width="50" customWidth="1"/>
    <col min="4" max="4" width="40" customWidth="1"/>
  </cols>
  <sheetData>
    <row r="1" spans="2:2" x14ac:dyDescent="0.25">
      <c r="B1" s="37" t="s">
        <v>366</v>
      </c>
    </row>
    <row r="2" spans="2:4" x14ac:dyDescent="0.25">
      <c r="B2" s="38" t="s">
        <v>367</v>
      </c>
      <c r="C2" s="38" t="s">
        <v>328</v>
      </c>
      <c r="D2" s="38" t="s">
        <v>41</v>
      </c>
    </row>
    <row r="3" spans="2:4" x14ac:dyDescent="0.25">
      <c r="B3" t="s">
        <v>368</v>
      </c>
      <c r="C3" t="s">
        <v>369</v>
      </c>
      <c r="D3" t="s">
        <v>370</v>
      </c>
    </row>
    <row r="4" spans="2:4" x14ac:dyDescent="0.25">
      <c r="B4" t="s">
        <v>371</v>
      </c>
      <c r="C4" t="s">
        <v>372</v>
      </c>
      <c r="D4" t="s">
        <v>373</v>
      </c>
    </row>
    <row r="5" spans="2:4" x14ac:dyDescent="0.25">
      <c r="B5" t="s">
        <v>374</v>
      </c>
      <c r="C5" t="s">
        <v>375</v>
      </c>
      <c r="D5" t="s">
        <v>376</v>
      </c>
    </row>
    <row r="6" spans="2:4" x14ac:dyDescent="0.25">
      <c r="B6" t="s">
        <v>377</v>
      </c>
      <c r="C6" t="s">
        <v>378</v>
      </c>
      <c r="D6" t="s">
        <v>376</v>
      </c>
    </row>
    <row r="7" spans="2:4" x14ac:dyDescent="0.25">
      <c r="B7" t="s">
        <v>379</v>
      </c>
      <c r="C7" t="s">
        <v>380</v>
      </c>
      <c r="D7" t="s">
        <v>376</v>
      </c>
    </row>
    <row r="8" spans="2:4" x14ac:dyDescent="0.25">
      <c r="B8" t="s">
        <v>381</v>
      </c>
      <c r="C8" t="s">
        <v>382</v>
      </c>
      <c r="D8" t="s">
        <v>376</v>
      </c>
    </row>
    <row r="9" spans="2:4" x14ac:dyDescent="0.25">
      <c r="B9" t="s">
        <v>383</v>
      </c>
      <c r="C9" t="s">
        <v>384</v>
      </c>
      <c r="D9" t="s">
        <v>376</v>
      </c>
    </row>
    <row r="10" spans="2:4" x14ac:dyDescent="0.25">
      <c r="B10" t="s">
        <v>385</v>
      </c>
      <c r="C10" t="s">
        <v>386</v>
      </c>
      <c r="D10" t="s">
        <v>387</v>
      </c>
    </row>
    <row r="11" spans="2:4" x14ac:dyDescent="0.25">
      <c r="B11" t="s">
        <v>388</v>
      </c>
      <c r="C11" t="s">
        <v>389</v>
      </c>
      <c r="D11" t="s">
        <v>390</v>
      </c>
    </row>
    <row r="12" spans="2:4" x14ac:dyDescent="0.25">
      <c r="B12" t="s">
        <v>391</v>
      </c>
      <c r="C12" t="s">
        <v>392</v>
      </c>
      <c r="D12" t="s">
        <v>393</v>
      </c>
    </row>
    <row r="13" spans="2:4" x14ac:dyDescent="0.25">
      <c r="B13" t="s">
        <v>394</v>
      </c>
      <c r="C13" t="s">
        <v>395</v>
      </c>
      <c r="D13" t="s">
        <v>396</v>
      </c>
    </row>
    <row r="14" spans="2:4" x14ac:dyDescent="0.25">
      <c r="B14" t="s">
        <v>397</v>
      </c>
      <c r="C14" t="s">
        <v>398</v>
      </c>
      <c r="D14" t="s">
        <v>399</v>
      </c>
    </row>
    <row r="15" spans="2:4" x14ac:dyDescent="0.25">
      <c r="B15" t="s">
        <v>400</v>
      </c>
      <c r="C15" t="s">
        <v>401</v>
      </c>
      <c r="D15" t="s">
        <v>402</v>
      </c>
    </row>
    <row r="16" spans="2:4" x14ac:dyDescent="0.25">
      <c r="B16" t="s">
        <v>403</v>
      </c>
      <c r="C16" t="s">
        <v>404</v>
      </c>
      <c r="D16" t="s">
        <v>405</v>
      </c>
    </row>
    <row r="17" spans="2:4" x14ac:dyDescent="0.25">
      <c r="B17" t="s">
        <v>406</v>
      </c>
      <c r="C17" t="s">
        <v>407</v>
      </c>
      <c r="D17" t="s">
        <v>405</v>
      </c>
    </row>
    <row r="18" spans="2:4" x14ac:dyDescent="0.25">
      <c r="B18" t="s">
        <v>408</v>
      </c>
      <c r="C18" t="s">
        <v>409</v>
      </c>
      <c r="D18" t="s">
        <v>393</v>
      </c>
    </row>
    <row r="19" spans="2:4" x14ac:dyDescent="0.25">
      <c r="B19" t="s">
        <v>410</v>
      </c>
      <c r="C19" t="s">
        <v>411</v>
      </c>
      <c r="D19" t="s">
        <v>412</v>
      </c>
    </row>
    <row r="20" spans="2:4" x14ac:dyDescent="0.25">
      <c r="B20" t="s">
        <v>413</v>
      </c>
      <c r="C20" t="s">
        <v>414</v>
      </c>
      <c r="D20" t="s">
        <v>415</v>
      </c>
    </row>
    <row r="21" spans="2:4" x14ac:dyDescent="0.25">
      <c r="B21" t="s">
        <v>416</v>
      </c>
      <c r="C21" t="s">
        <v>417</v>
      </c>
      <c r="D21" t="s">
        <v>418</v>
      </c>
    </row>
    <row r="22" spans="2:4" x14ac:dyDescent="0.25">
      <c r="B22" t="s">
        <v>419</v>
      </c>
      <c r="C22" t="s">
        <v>420</v>
      </c>
      <c r="D22" t="s">
        <v>421</v>
      </c>
    </row>
    <row r="23" spans="2:4" x14ac:dyDescent="0.25">
      <c r="B23" t="s">
        <v>422</v>
      </c>
      <c r="C23" t="s">
        <v>423</v>
      </c>
      <c r="D23" t="s">
        <v>424</v>
      </c>
    </row>
    <row r="24" spans="2:4" x14ac:dyDescent="0.25">
      <c r="B24" t="s">
        <v>425</v>
      </c>
      <c r="C24" t="s">
        <v>426</v>
      </c>
      <c r="D24" t="s">
        <v>399</v>
      </c>
    </row>
    <row r="25" spans="2:4" x14ac:dyDescent="0.25">
      <c r="B25" t="s">
        <v>427</v>
      </c>
      <c r="C25" t="s">
        <v>428</v>
      </c>
      <c r="D25" t="s">
        <v>429</v>
      </c>
    </row>
    <row r="26" spans="2:4" x14ac:dyDescent="0.25">
      <c r="B26" t="s">
        <v>430</v>
      </c>
      <c r="C26" t="s">
        <v>431</v>
      </c>
      <c r="D26" t="s">
        <v>432</v>
      </c>
    </row>
    <row r="27" spans="2:4" x14ac:dyDescent="0.25">
      <c r="B27" t="s">
        <v>433</v>
      </c>
      <c r="C27" t="s">
        <v>434</v>
      </c>
      <c r="D27" t="s">
        <v>435</v>
      </c>
    </row>
    <row r="28" spans="2:4" x14ac:dyDescent="0.25">
      <c r="B28" t="s">
        <v>436</v>
      </c>
      <c r="C28" t="s">
        <v>437</v>
      </c>
      <c r="D28" t="s">
        <v>438</v>
      </c>
    </row>
    <row r="29" spans="2:4" x14ac:dyDescent="0.25">
      <c r="B29" t="s">
        <v>439</v>
      </c>
      <c r="C29" t="s">
        <v>440</v>
      </c>
      <c r="D29" t="s">
        <v>441</v>
      </c>
    </row>
    <row r="30" spans="2:4" x14ac:dyDescent="0.25">
      <c r="B30" t="s">
        <v>442</v>
      </c>
      <c r="C30" t="s">
        <v>443</v>
      </c>
      <c r="D30" t="s">
        <v>424</v>
      </c>
    </row>
    <row r="31" spans="2:4" x14ac:dyDescent="0.25">
      <c r="B31" t="s">
        <v>444</v>
      </c>
      <c r="C31" t="s">
        <v>445</v>
      </c>
      <c r="D31" t="s">
        <v>446</v>
      </c>
    </row>
    <row r="32" spans="2:4" x14ac:dyDescent="0.25">
      <c r="B32" t="s">
        <v>447</v>
      </c>
      <c r="C32" t="s">
        <v>448</v>
      </c>
      <c r="D32" t="s">
        <v>449</v>
      </c>
    </row>
    <row r="33" spans="2:4" x14ac:dyDescent="0.25">
      <c r="B33" t="s">
        <v>450</v>
      </c>
      <c r="C33" t="s">
        <v>451</v>
      </c>
      <c r="D33" t="s">
        <v>452</v>
      </c>
    </row>
    <row r="34" spans="2:4" x14ac:dyDescent="0.25">
      <c r="B34" t="s">
        <v>453</v>
      </c>
      <c r="C34" t="s">
        <v>454</v>
      </c>
      <c r="D34" t="s">
        <v>396</v>
      </c>
    </row>
    <row r="35" spans="2:4" x14ac:dyDescent="0.25">
      <c r="B35" t="s">
        <v>455</v>
      </c>
      <c r="C35" t="s">
        <v>456</v>
      </c>
      <c r="D35" t="s">
        <v>457</v>
      </c>
    </row>
    <row r="36" spans="2:4" x14ac:dyDescent="0.25">
      <c r="B36" t="s">
        <v>458</v>
      </c>
      <c r="C36" t="s">
        <v>459</v>
      </c>
      <c r="D36" t="s">
        <v>412</v>
      </c>
    </row>
    <row r="37" spans="2:4" x14ac:dyDescent="0.25">
      <c r="B37" t="s">
        <v>460</v>
      </c>
      <c r="C37" t="s">
        <v>461</v>
      </c>
      <c r="D37" t="s">
        <v>376</v>
      </c>
    </row>
    <row r="38" spans="2:4" x14ac:dyDescent="0.25">
      <c r="B38" t="s">
        <v>462</v>
      </c>
      <c r="C38" t="s">
        <v>463</v>
      </c>
      <c r="D38" t="s">
        <v>376</v>
      </c>
    </row>
    <row r="39" spans="2:4" x14ac:dyDescent="0.25">
      <c r="B39" t="s">
        <v>464</v>
      </c>
      <c r="C39" t="s">
        <v>465</v>
      </c>
      <c r="D39" t="s">
        <v>376</v>
      </c>
    </row>
    <row r="40" spans="2:4" x14ac:dyDescent="0.25">
      <c r="B40" t="s">
        <v>153</v>
      </c>
      <c r="C40" t="s">
        <v>466</v>
      </c>
      <c r="D40" t="s">
        <v>467</v>
      </c>
    </row>
    <row r="41" spans="2:4" x14ac:dyDescent="0.25">
      <c r="B41" t="s">
        <v>468</v>
      </c>
      <c r="C41" t="s">
        <v>469</v>
      </c>
      <c r="D41" t="s">
        <v>470</v>
      </c>
    </row>
    <row r="42" spans="2:4" x14ac:dyDescent="0.25">
      <c r="B42" t="s">
        <v>471</v>
      </c>
      <c r="C42" t="s">
        <v>472</v>
      </c>
      <c r="D42" t="s">
        <v>470</v>
      </c>
    </row>
    <row r="43" spans="2:4" x14ac:dyDescent="0.25">
      <c r="B43" t="s">
        <v>473</v>
      </c>
      <c r="C43" t="s">
        <v>474</v>
      </c>
      <c r="D43" t="s">
        <v>475</v>
      </c>
    </row>
    <row r="44" spans="2:4" x14ac:dyDescent="0.25">
      <c r="B44" t="s">
        <v>476</v>
      </c>
      <c r="C44" t="s">
        <v>477</v>
      </c>
      <c r="D44" t="s">
        <v>478</v>
      </c>
    </row>
    <row r="47" spans="2:2" x14ac:dyDescent="0.25">
      <c r="B47" s="39" t="s">
        <v>479</v>
      </c>
    </row>
    <row r="48" spans="2:4" x14ac:dyDescent="0.25">
      <c r="B48" t="s">
        <v>145</v>
      </c>
      <c r="C48" t="s">
        <v>143</v>
      </c>
      <c r="D48" t="s">
        <v>480</v>
      </c>
    </row>
    <row r="49" spans="2:4" x14ac:dyDescent="0.25">
      <c r="B49" t="s">
        <v>201</v>
      </c>
      <c r="C49" t="s">
        <v>199</v>
      </c>
      <c r="D49" t="s">
        <v>481</v>
      </c>
    </row>
    <row r="50" spans="2:4" x14ac:dyDescent="0.25">
      <c r="B50" t="s">
        <v>279</v>
      </c>
      <c r="C50" t="s">
        <v>277</v>
      </c>
      <c r="D50" t="s">
        <v>482</v>
      </c>
    </row>
    <row r="51" spans="2:4" x14ac:dyDescent="0.25">
      <c r="B51" t="s">
        <v>264</v>
      </c>
      <c r="C51" t="s">
        <v>262</v>
      </c>
      <c r="D51" t="s">
        <v>483</v>
      </c>
    </row>
    <row r="52" spans="2:4" x14ac:dyDescent="0.25">
      <c r="B52" t="s">
        <v>286</v>
      </c>
      <c r="C52" t="s">
        <v>284</v>
      </c>
      <c r="D52" t="s">
        <v>484</v>
      </c>
    </row>
    <row r="53" spans="2:4" x14ac:dyDescent="0.25">
      <c r="B53" t="s">
        <v>291</v>
      </c>
      <c r="C53" t="s">
        <v>289</v>
      </c>
      <c r="D53" t="s">
        <v>485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2"/>
  <sheetFormatPr defaultRowHeight="15" outlineLevelRow="0" outlineLevelCol="0" x14ac:dyDescent="55"/>
  <cols>
    <col min="2" max="2" width="42" customWidth="1"/>
    <col min="3" max="4" width="12" customWidth="1"/>
    <col min="5" max="5" width="40" customWidth="1"/>
  </cols>
  <sheetData>
    <row r="1" spans="2:2" x14ac:dyDescent="0.25">
      <c r="B1" s="37" t="s">
        <v>486</v>
      </c>
    </row>
    <row r="2" spans="2:4" x14ac:dyDescent="0.25">
      <c r="B2" s="38" t="s">
        <v>487</v>
      </c>
      <c r="C2" s="38" t="s">
        <v>488</v>
      </c>
      <c r="D2" s="38" t="s">
        <v>489</v>
      </c>
    </row>
    <row r="3" spans="2:4" x14ac:dyDescent="0.25">
      <c r="B3" t="s">
        <v>490</v>
      </c>
      <c r="C3">
        <v>2</v>
      </c>
      <c r="D3">
        <v>5</v>
      </c>
    </row>
    <row r="4" spans="2:4" x14ac:dyDescent="0.25">
      <c r="B4" t="s">
        <v>491</v>
      </c>
      <c r="C4">
        <v>3</v>
      </c>
      <c r="D4">
        <v>8</v>
      </c>
    </row>
    <row r="5" spans="2:4" x14ac:dyDescent="0.25">
      <c r="B5" t="s">
        <v>492</v>
      </c>
      <c r="C5">
        <v>10</v>
      </c>
      <c r="D5">
        <v>20</v>
      </c>
    </row>
    <row r="6" spans="2:4" x14ac:dyDescent="0.25">
      <c r="B6" t="s">
        <v>493</v>
      </c>
      <c r="C6">
        <v>20</v>
      </c>
      <c r="D6">
        <v>40</v>
      </c>
    </row>
    <row r="7" spans="2:4" x14ac:dyDescent="0.25">
      <c r="B7" t="s">
        <v>494</v>
      </c>
      <c r="C7">
        <v>40</v>
      </c>
      <c r="D7">
        <v>90</v>
      </c>
    </row>
    <row r="8" spans="2:4" x14ac:dyDescent="0.25">
      <c r="B8" t="s">
        <v>495</v>
      </c>
      <c r="C8">
        <v>0.05</v>
      </c>
      <c r="D8">
        <v>0.15</v>
      </c>
    </row>
    <row r="9" spans="2:4" x14ac:dyDescent="0.25">
      <c r="B9" t="s">
        <v>496</v>
      </c>
      <c r="C9">
        <v>20</v>
      </c>
      <c r="D9">
        <v>60</v>
      </c>
    </row>
    <row r="10" spans="2:4" x14ac:dyDescent="0.25">
      <c r="B10" t="s">
        <v>497</v>
      </c>
      <c r="C10">
        <v>5</v>
      </c>
      <c r="D10">
        <v>15</v>
      </c>
    </row>
    <row r="11" spans="2:4" x14ac:dyDescent="0.25">
      <c r="B11" t="s">
        <v>498</v>
      </c>
      <c r="C11">
        <v>1.3</v>
      </c>
      <c r="D11">
        <v>1.8</v>
      </c>
    </row>
    <row r="12" spans="2:3" x14ac:dyDescent="0.25">
      <c r="B12" t="s">
        <v>499</v>
      </c>
      <c r="C12">
        <v>0.5</v>
      </c>
    </row>
    <row r="13" spans="2:3" x14ac:dyDescent="0.25">
      <c r="B13" t="s">
        <v>500</v>
      </c>
      <c r="C13">
        <v>2</v>
      </c>
    </row>
    <row r="14" spans="2:3" x14ac:dyDescent="0.25">
      <c r="B14" t="s">
        <v>501</v>
      </c>
      <c r="C14">
        <v>8</v>
      </c>
    </row>
    <row r="15" spans="2:3" x14ac:dyDescent="0.25">
      <c r="B15" t="s">
        <v>64</v>
      </c>
      <c r="C15">
        <v>40</v>
      </c>
    </row>
    <row r="16" spans="2:3" x14ac:dyDescent="0.25">
      <c r="B16" t="s">
        <v>502</v>
      </c>
      <c r="C16">
        <v>1.25</v>
      </c>
    </row>
    <row r="19" spans="2:2" x14ac:dyDescent="0.25">
      <c r="B19" s="39" t="s">
        <v>503</v>
      </c>
    </row>
    <row r="20" spans="2:2" x14ac:dyDescent="0.25">
      <c r="B20" t="s">
        <v>504</v>
      </c>
    </row>
    <row r="22" spans="2:2" x14ac:dyDescent="0.25">
      <c r="B22" t="s">
        <v>505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6"/>
  <sheetFormatPr defaultRowHeight="15" outlineLevelRow="0" outlineLevelCol="0" x14ac:dyDescent="55"/>
  <cols>
    <col min="2" max="2" width="36" customWidth="1"/>
    <col min="3" max="3" width="10" customWidth="1"/>
    <col min="4" max="4" width="90" customWidth="1"/>
  </cols>
  <sheetData>
    <row r="1" spans="2:2" x14ac:dyDescent="0.25">
      <c r="B1" s="37" t="s">
        <v>506</v>
      </c>
    </row>
    <row r="2" spans="2:4" x14ac:dyDescent="0.25">
      <c r="B2" s="38" t="s">
        <v>507</v>
      </c>
      <c r="C2" s="38" t="s">
        <v>508</v>
      </c>
      <c r="D2" s="38" t="s">
        <v>509</v>
      </c>
    </row>
    <row r="3" spans="2:4" x14ac:dyDescent="0.25">
      <c r="B3" t="s">
        <v>510</v>
      </c>
      <c r="C3" t="s">
        <v>511</v>
      </c>
      <c r="D3" t="s">
        <v>512</v>
      </c>
    </row>
    <row r="4" spans="2:4" x14ac:dyDescent="0.25">
      <c r="B4" t="s">
        <v>513</v>
      </c>
      <c r="C4" t="s">
        <v>511</v>
      </c>
      <c r="D4" t="s">
        <v>514</v>
      </c>
    </row>
    <row r="5" spans="2:4" x14ac:dyDescent="0.25">
      <c r="B5" t="s">
        <v>515</v>
      </c>
      <c r="C5" t="s">
        <v>511</v>
      </c>
      <c r="D5" t="s">
        <v>516</v>
      </c>
    </row>
    <row r="6" spans="2:4" x14ac:dyDescent="0.25">
      <c r="B6" t="s">
        <v>517</v>
      </c>
      <c r="C6" t="s">
        <v>511</v>
      </c>
      <c r="D6" t="s">
        <v>518</v>
      </c>
    </row>
    <row r="7" spans="2:4" x14ac:dyDescent="0.25">
      <c r="B7" t="s">
        <v>519</v>
      </c>
      <c r="C7" t="s">
        <v>511</v>
      </c>
      <c r="D7" t="s">
        <v>520</v>
      </c>
    </row>
    <row r="8" spans="2:4" x14ac:dyDescent="0.25">
      <c r="B8" t="s">
        <v>521</v>
      </c>
      <c r="C8" t="s">
        <v>511</v>
      </c>
      <c r="D8" t="s">
        <v>522</v>
      </c>
    </row>
    <row r="9" spans="2:4" x14ac:dyDescent="0.25">
      <c r="B9" t="s">
        <v>523</v>
      </c>
      <c r="C9" t="s">
        <v>511</v>
      </c>
      <c r="D9" t="s">
        <v>524</v>
      </c>
    </row>
    <row r="10" spans="2:4" x14ac:dyDescent="0.25">
      <c r="B10" t="s">
        <v>525</v>
      </c>
      <c r="C10" t="s">
        <v>511</v>
      </c>
      <c r="D10" t="s">
        <v>526</v>
      </c>
    </row>
    <row r="11" spans="2:4" x14ac:dyDescent="0.25">
      <c r="B11" t="s">
        <v>527</v>
      </c>
      <c r="C11" t="s">
        <v>511</v>
      </c>
      <c r="D11" t="s">
        <v>528</v>
      </c>
    </row>
    <row r="14" spans="2:2" x14ac:dyDescent="0.25">
      <c r="B14" s="39" t="s">
        <v>529</v>
      </c>
    </row>
    <row r="15" spans="2:4" x14ac:dyDescent="0.25">
      <c r="B15" s="38" t="s">
        <v>530</v>
      </c>
      <c r="C15" s="38" t="s">
        <v>531</v>
      </c>
      <c r="D15" s="38" t="s">
        <v>532</v>
      </c>
    </row>
    <row r="16" spans="2:2" x14ac:dyDescent="0.25">
      <c r="B16" t="s">
        <v>183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Dev Backend Estimates</vt:lpstr>
      <vt:lpstr>Dev Mobile Estimates</vt:lpstr>
      <vt:lpstr>Dev Web Estimates</vt:lpstr>
      <vt:lpstr>QA Estimates</vt:lpstr>
      <vt:lpstr>Design Estimates</vt:lpstr>
      <vt:lpstr>Other Estimates</vt:lpstr>
      <vt:lpstr>All Tasks</vt:lpstr>
      <vt:lpstr>Confidence</vt:lpstr>
      <vt:lpstr>Anchors</vt:lpstr>
      <vt:lpstr>Traceability</vt:lpstr>
      <vt:lpstr>Parameters</vt:lpstr>
      <vt:lpstr>Gates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