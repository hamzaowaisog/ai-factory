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Dev Backend Estimates" state="visible" r:id="rId5"/>
    <sheet sheetId="3" name="Dev Mobile Estimates" state="visible" r:id="rId6"/>
    <sheet sheetId="4" name="Dev Web Estimates" state="visible" r:id="rId7"/>
    <sheet sheetId="5" name="QA Estimates" state="visible" r:id="rId8"/>
    <sheet sheetId="6" name="Design Estimates" state="visible" r:id="rId9"/>
    <sheet sheetId="7" name="Other Estimates" state="visible" r:id="rId10"/>
    <sheet sheetId="8" name="All Tasks" state="visible" r:id="rId11"/>
  </sheets>
  <calcPr calcId="171027"/>
</workbook>
</file>

<file path=xl/sharedStrings.xml><?xml version="1.0" encoding="utf-8"?>
<sst xmlns="http://schemas.openxmlformats.org/spreadsheetml/2006/main" count="849" uniqueCount="271">
  <si>
    <t>Folio3 Project Estimation</t>
  </si>
  <si>
    <t>Parts Quick Order</t>
  </si>
  <si>
    <t>Summary of Estimates</t>
  </si>
  <si>
    <t>Client Name</t>
  </si>
  <si>
    <t>Demo Garage</t>
  </si>
  <si>
    <t>Project Manager</t>
  </si>
  <si>
    <t>mhamza</t>
  </si>
  <si>
    <t>Date</t>
  </si>
  <si>
    <t>2026-10-05</t>
  </si>
  <si>
    <t>Version</t>
  </si>
  <si>
    <t>1</t>
  </si>
  <si>
    <t>Efforts (in hours)</t>
  </si>
  <si>
    <t>Task Summary</t>
  </si>
  <si>
    <t>Minimum</t>
  </si>
  <si>
    <t>Maximum</t>
  </si>
  <si>
    <t>Comments</t>
  </si>
  <si>
    <t>Avg</t>
  </si>
  <si>
    <t>Resources</t>
  </si>
  <si>
    <t>Weeks</t>
  </si>
  <si>
    <t>Backend Development Estimates</t>
  </si>
  <si>
    <t>Grand total of the Backend sheet</t>
  </si>
  <si>
    <t>Mobile Development Estimates</t>
  </si>
  <si>
    <t>Grand total of the Mobile sheet</t>
  </si>
  <si>
    <t>Admin Development Estimates</t>
  </si>
  <si>
    <t>Grand total of the Web / Admin sheet</t>
  </si>
  <si>
    <t>QA Estimates</t>
  </si>
  <si>
    <t>Grand total of the QA sheet</t>
  </si>
  <si>
    <t>GD Estimates</t>
  </si>
  <si>
    <t>Other Estimates sheet</t>
  </si>
  <si>
    <t>PM Estimates</t>
  </si>
  <si>
    <t>PDM Estimates</t>
  </si>
  <si>
    <t>Cross-cutting Estimates</t>
  </si>
  <si>
    <t>Other Estimates sheet: deployment, documentation and the like</t>
  </si>
  <si>
    <t>Design Estimates</t>
  </si>
  <si>
    <t>Counted in the total only when Design is switched on below</t>
  </si>
  <si>
    <t>Total</t>
  </si>
  <si>
    <t>List of Special Considerations, where applicable:</t>
  </si>
  <si>
    <t>Tasks</t>
  </si>
  <si>
    <t>Action</t>
  </si>
  <si>
    <t/>
  </si>
  <si>
    <t>Application type (mobile, desktop, web)</t>
  </si>
  <si>
    <t>Backend + Web</t>
  </si>
  <si>
    <t>From the tracks that have work</t>
  </si>
  <si>
    <t>Platforms/OS supported</t>
  </si>
  <si>
    <t>Not specified</t>
  </si>
  <si>
    <t>Confirm with the client</t>
  </si>
  <si>
    <t>Browsers supported</t>
  </si>
  <si>
    <t>Assumed: The latest two versions of Chrome, Edge, Safari and Firefox.</t>
  </si>
  <si>
    <t>Factory assumption ASM-17, confirm with the client</t>
  </si>
  <si>
    <t>Deployment (cloud, dedicated server, enterprise internal network)</t>
  </si>
  <si>
    <t>Performance, Load requirements</t>
  </si>
  <si>
    <t>Assumed: Up to 1,000 users and 100,000 records in the first year.</t>
  </si>
  <si>
    <t>Factory assumption ASM-16, confirm with the client</t>
  </si>
  <si>
    <t>Security requirements</t>
  </si>
  <si>
    <t>Documentation requirements</t>
  </si>
  <si>
    <t>Other custom?</t>
  </si>
  <si>
    <t>No</t>
  </si>
  <si>
    <t>Parameters</t>
  </si>
  <si>
    <t>Include Design in total</t>
  </si>
  <si>
    <t>Yes</t>
  </si>
  <si>
    <t>Hours per week</t>
  </si>
  <si>
    <t>Feedback rounds</t>
  </si>
  <si>
    <t>Stack chosen by</t>
  </si>
  <si>
    <t>client</t>
  </si>
  <si>
    <t>Delivery model</t>
  </si>
  <si>
    <t>Solely agentic</t>
  </si>
  <si>
    <t>How to read the hours</t>
  </si>
  <si>
    <t>Each task's Minimum and Maximum are the hours it takes to deliver. Most of the work is done by AI agents; a person's hours are added only where a person is needed (client acceptance, design sign-off, project liaison, accounts and keys).</t>
  </si>
  <si>
    <t>Elapsed time</t>
  </si>
  <si>
    <t>Planning (minutes)</t>
  </si>
  <si>
    <t>Build critical path (days)</t>
  </si>
  <si>
    <t>Assumptions</t>
  </si>
  <si>
    <t>Does the 'Place order' button also need the cart to have at least one line, or is that already covered because checkout is hidden when the cart is empty? → assumed: Covered already: checkout is hidden when the cart is empty, and the API also refuses an order with no lines</t>
  </si>
  <si>
    <t>Does placing (or cancelling) an order change the stock quantity in the existing parts database? → assumed: No: stock is read-only and orders never change it</t>
  </si>
  <si>
    <t>What happens when a cart quantity is more than the current stock (or the part is now out of stock) at the moment the buyer presses 'Place order'? → assumed: The API checks stock again, rejects the order, lowers the affected lines to the stock now available with 'Only n available', and keeps the cart</t>
  </si>
  <si>
    <t>Where is the cart kept? → assumed: In the browser's local storage for the signed-in buyer (kept across page reloads on the same device)</t>
  </si>
  <si>
    <t>How does the API find out which buyer is making a request through the existing company login? → assumed: The API checks the existing company login's session token or cookie and reads the buyer ID from it</t>
  </si>
  <si>
    <t>Nothing in this work moves an order to Packed, Dispatched or Delivered (no admin screens, no integrations). How do statuses change after Placed? → assumed: Staff update the status directly in the database, outside this work; the portal only shows it</t>
  </si>
  <si>
    <t>Which unit price is saved on an order line, and what does the order 'total' include? → assumed: The part's current price when the order is placed; total = subtotal + delivery charge</t>
  </si>
  <si>
    <t>How are 'ORD-' + 6-digit order numbers generated? → assumed: Sequential from a database sequence, zero-padded (ORD-000001)</t>
  </si>
  <si>
    <t>Should the delivery prices (£0 / £9.99), the stock thresholds (5) and the page size (20) be fixed in the code or set in configuration? → assumed: Fixed constants in the code</t>
  </si>
  <si>
    <t>What happens if the order's status changes from Placed (e.g. to Packed) after the buyer opened it but before they confirm cancelling? → assumed: The API cancels only if the status is still Placed; otherwise it refuses, shows a message and refreshes the order</t>
  </si>
  <si>
    <t>What happens if placing an order fails (network or server error)? → assumed: Show an error message, keep the cart and checkout details, and let the buyer try again</t>
  </si>
  <si>
    <t>What happens when a quantity is set to 0, left blank, set above 99, or isn't a whole number? → assumed: Set it to the nearest value in range (blank or 0 becomes 1, above 99 becomes 99)</t>
  </si>
  <si>
    <t>What do 'cart count' in the header and 'number of items' in My orders count? → assumed: The total of all quantities (2 filters + 1 pad = 3)</t>
  </si>
  <si>
    <t>How do the parts list filters and sort order work? → assumed: One category and one brand at a time (each with 'All'), brands taken from the parts data, sorted by name A–Z, back to page 1 whenever the search or a filter changes</t>
  </si>
  <si>
    <t>Is the delivery address remembered from the buyer's previous order? → assumed: No: typed fresh for each order</t>
  </si>
  <si>
    <t>Under what conditions is the 2-second load target measured, and how many buyers and orders are expected? → assumed: Up to 1,000 users and 100,000 records in the first year.</t>
  </si>
  <si>
    <t>Which browsers must be supported? → assumed: The latest two versions of Chrome, Edge, Safari and Firefox.</t>
  </si>
  <si>
    <t>Are orders written to the same PostgreSQL database that holds the existing parts? → assumed: Yes: new orders and order-lines tables in the same database, referring to parts by part number</t>
  </si>
  <si>
    <t>Spec question Q-1: If a part in the cart now has 0 stock, what should happen to that cart line? (One rule says the quantity can never go below 1. Another says it can never go above stock.) → Remove the line and show "&lt;part name&gt; is now out of stock" (assumed by the factory, hands-off)</t>
  </si>
  <si>
    <t>Spec question Q-2: If the buyer retries after a network error but the first order was actually saved, how should we stop the order being placed twice? → Disable "Place order" while a request is in progress, and on a network error tell the buyer to check My orders before retrying (assumed by the factory, hands-off)</t>
  </si>
  <si>
    <t>Spec question Q-3: The cart keeps a saved copy of each price, but orders are charged at the current price. How should the cart handle a price that has changed? → Fetch the current prices from the parts API when the cart opens, and show only those (assumed by the factory, hands-off)</t>
  </si>
  <si>
    <t>Spec question Q-4: Should the spec keep a separate requirement that the API rejects requests with no valid company-login session (status 401)? The request doesn't mention this. → Leave it out and rely on the existing company login as-is (assumed by the factory, hands-off)</t>
  </si>
  <si>
    <t>Spec question Q-5: When the cart opens and the request to the parts API for current prices fails (network or server error), what should the cart show and allow? The saved prices must never be shown. → Show the cart lines without prices or totals, show an error message with a "Try again" button, and hide checkout until current prices load (assumed by the factory, hands-off)</t>
  </si>
  <si>
    <t>Open risk: ASM-26 and AC-41.1 need GET /api/parts filtered to the cart's part numbers in a single call, but REQ-2/4/5 and ASM-19 only define q (at least 2 characters, substring match), category, brand and page, so no defined parameter can fetch exactly the cart's parts.</t>
  </si>
  <si>
    <t>Open risk: When the cart opens, only lines whose part now has 0 stock are handled; a line whose stock has dropped but is still above 0 (cart quantity 5, stock now 2) is left unclamped until the 409 at Place order, and REQ-14's clamp only runs when the buyer edits the quantity.</t>
  </si>
  <si>
    <t>Open risk: The order is charged at the server's current price, but the price can change between cart refresh and Place order; nothing says the buyer is told or asked to confirm, so the saved total can differ from the total on screen (payments risk).</t>
  </si>
  <si>
    <t>Gate time, cost and duration are assumed figures, labelled cold-start until the ledger has measured runs.</t>
  </si>
  <si>
    <t>Split before the build: EST-1, EST-3, EST-6, EST-13 (agent work over 16 h or very large is split into smaller tasks; the hours stay as estimated).</t>
  </si>
  <si>
    <t>Development Estimates for Parts Quick Order</t>
  </si>
  <si>
    <t>by mhamza</t>
  </si>
  <si>
    <t>Grand Total (in hours)</t>
  </si>
  <si>
    <t>Sum of development, other activities and research efforts.</t>
  </si>
  <si>
    <t>S.No</t>
  </si>
  <si>
    <t>Task</t>
  </si>
  <si>
    <t>Executor</t>
  </si>
  <si>
    <t>Requirement id(s)</t>
  </si>
  <si>
    <t>Task id</t>
  </si>
  <si>
    <t>Portal shell, navigation and cross-cutting</t>
  </si>
  <si>
    <t>Environments, CI/CD and hosting for API and portal</t>
  </si>
  <si>
    <t>Environment setup delivers no requirement on its own</t>
  </si>
  <si>
    <t>Joint</t>
  </si>
  <si>
    <t>EST-1</t>
  </si>
  <si>
    <t>Find parts</t>
  </si>
  <si>
    <t>GET /api/parts: search, filters, paging, stock state</t>
  </si>
  <si>
    <t>Sorted by name A–Z, 20 per page, total count; Fields image (or null), name, partNumber, brand, price in GBP with 2 decimals, stockState, stock (whole number); Stock state: In stock (≥5), Low stock (n left) (1–4), Out of stock (0); Search q of at least 2 characters, case-insensitive, on name or part number; 1 character applies no filter; One category and one brand filter combined with search; All means no filter; Empty result returns 200 with empty list and total 0; p95 under 500 ms with 5,000 parts</t>
  </si>
  <si>
    <t>Factory</t>
  </si>
  <si>
    <t>REQ-2, REQ-3, REQ-4, REQ-5, REQ-38</t>
  </si>
  <si>
    <t>EST-4</t>
  </si>
  <si>
    <t>GET /api/parts/brands</t>
  </si>
  <si>
    <t>Distinct brand list taken from the parts data</t>
  </si>
  <si>
    <t>REQ-5</t>
  </si>
  <si>
    <t>EST-5</t>
  </si>
  <si>
    <t>Placing orders (orders API)</t>
  </si>
  <si>
    <t>Orders data model, migrations and seed data</t>
  </si>
  <si>
    <t>orders table: buyer ID, order number, date placed, delivery address, delivery option (STANDARD/NEXT_DAY), total, status; order_lines table: order, part number (refers to existing parts), quantity, unit price; Status values Placed, Packed, Dispatched, Delivered, Cancelled; Database sequence for ORD- + 6 zero-padded digits (ORD-000001); Indexes on buyer and date placed for 100,000 order records (NFR-2); Parts table stays read-only; Seed of 5,000 parts for the load test</t>
  </si>
  <si>
    <t>REQ-20, REQ-28, REQ-30, REQ-38</t>
  </si>
  <si>
    <t>EST-2</t>
  </si>
  <si>
    <t>POST /api/orders: place order rules</t>
  </si>
  <si>
    <t>Validation 400 with error field: no lines, quantity outside 1–99, unknown part number, address outside 5–200 characters, missing or unknown delivery option; Stock re-check: 409 listing each affected part number with available stock, no order saved; Unit price from current part price; client-sent price ignored; Total = subtotal + delivery charge (Standard £0.00, Next day £9.99); Status Placed and sequential order number ORD-000001; 201 response with orderNumber, status and total; Stock quantity in parts database left unchanged</t>
  </si>
  <si>
    <t>REQ-20, REQ-21, REQ-22, REQ-25</t>
  </si>
  <si>
    <t>EST-6</t>
  </si>
  <si>
    <t>My orders</t>
  </si>
  <si>
    <t>Buyer identity from existing company login session</t>
  </si>
  <si>
    <t>Validate existing company login session token or cookie on every API request (ASM-5); Read buyer ID from session for order ownership; Expose signed-in buyer ID to the portal for the cart storage key</t>
  </si>
  <si>
    <t>REQ-27, REQ-16</t>
  </si>
  <si>
    <t>EST-3</t>
  </si>
  <si>
    <t>GET /api/orders: buyer's orders list with status filter</t>
  </si>
  <si>
    <t>Only the signed-in buyer's orders; Newest first; Fields order number, datePlaced, itemCount (total of quantities), total, status; status query filter; Empty list with 200 when no orders</t>
  </si>
  <si>
    <t>REQ-27, REQ-28, REQ-29, REQ-35</t>
  </si>
  <si>
    <t>EST-7</t>
  </si>
  <si>
    <t>GET /api/orders/{orderNumber}: order detail</t>
  </si>
  <si>
    <t>Lines with part number, name, quantity, unit price; Delivery address, delivery option, total, status; 404 for another buyer's order</t>
  </si>
  <si>
    <t>REQ-27, REQ-30</t>
  </si>
  <si>
    <t>EST-8</t>
  </si>
  <si>
    <t>POST /api/orders/{orderNumber}/cancel: cancel rules</t>
  </si>
  <si>
    <t>Cancel only if status is still Placed: set Cancelled, return 200 with status Cancelled; 409 with error message when no longer Placed, status unchanged; 404 for another buyer's order, status unchanged; Stock unchanged on cancel</t>
  </si>
  <si>
    <t>REQ-33, REQ-34, REQ-27, REQ-25</t>
  </si>
  <si>
    <t>EST-9</t>
  </si>
  <si>
    <t>Development Total Efforts (in hours)</t>
  </si>
  <si>
    <t>Other Development Activities</t>
  </si>
  <si>
    <t>None</t>
  </si>
  <si>
    <t>Post Development Activities Total Efforts (in hours)</t>
  </si>
  <si>
    <t>Research Task (if any)</t>
  </si>
  <si>
    <t>No research task in this estimate</t>
  </si>
  <si>
    <t>Research Total Efforts (in hours)</t>
  </si>
  <si>
    <t>Assumptions &amp; Constraints</t>
  </si>
  <si>
    <t>Risks</t>
  </si>
  <si>
    <t>Estimates will increase in case of change in requirement</t>
  </si>
  <si>
    <t>Not in scope: no work in this estimate</t>
  </si>
  <si>
    <t>Portal app shell (web)</t>
  </si>
  <si>
    <t>Routes /parts, /cart, /orders; Header with links to the other two screens and live cart count; Company login session wiring and buyer ID; Error page; Responsive layout without horizontal scroll from 360 px; Visible focus and keyboard navigation; Prices formatted as £ with 2 decimals, English only (NFR-6)</t>
  </si>
  <si>
    <t>REQ-1, REQ-9, REQ-36, REQ-37</t>
  </si>
  <si>
    <t>EST-10</t>
  </si>
  <si>
    <t>Production release of API and portal</t>
  </si>
  <si>
    <t>Production launch delivers no requirement on its own</t>
  </si>
  <si>
    <t>EST-22</t>
  </si>
  <si>
    <t>Find parts screen (web)</t>
  </si>
  <si>
    <t>Search box with "Type at least 2 characters" hint; Category and brand filters with All; Result rows: image, name, part number, brand, price, stock badge with text; Previous/Next paging, back to page 1 on search or filter change; Add to cart, disabled when out of stock; header count bumps with success message; Go to cart (n) link; States: loading skeleton, empty "No parts match" with Clear search and filters, error with Try again, out of stock, low stock, added; First page displayed within 2 seconds with 5,000 parts</t>
  </si>
  <si>
    <t>REQ-1, REQ-2, REQ-3, REQ-4, REQ-5, REQ-6, REQ-7, REQ-8, REQ-9, REQ-10, REQ-36, REQ-37, REQ-38</t>
  </si>
  <si>
    <t>EST-12</t>
  </si>
  <si>
    <t>Cart and checkout</t>
  </si>
  <si>
    <t>CartStore in browser local storage per buyer</t>
  </si>
  <si>
    <t>addPart: add line quantity 1 or +1; out-of-stock part not added; capped at stock with "Only n available"; count(): total of all quantities; lines(): name, partNumber, unitPrice, quantity, lineTotal; setQuantity: blank/0 → 1, above 99 → 99, non-whole → nearest; above stock → stock with "Only n available"; removeLine; subtotal() and totals(STANDARD £0.00 / NEXT_DAY £9.99); Persist lines in local storage under buyer ID; refresh(partsClient): current prices only, remove 0-stock lines with "&lt;part name&gt; is now out of stock", on failure error field and null prices/totals; applyStockLimits from 409: lower lines with "Only n available", remove 0-stock lines with message, keep others</t>
  </si>
  <si>
    <t>REQ-8, REQ-9, REQ-10, REQ-11, REQ-12, REQ-13, REQ-14, REQ-15, REQ-16, REQ-19, REQ-39, REQ-41, REQ-42, REQ-43</t>
  </si>
  <si>
    <t>EST-11</t>
  </si>
  <si>
    <t>Cart lines with live prices (web)</t>
  </si>
  <si>
    <t>Lines table: part, part no., unit price, editable qty, line total, Remove; Instant recalculation of line and order totals; Quantity correction with "Only n available"; Inline alert "&lt;part name&gt; is now out of stock" when a line is removed; Loading state while current prices are fetched; Price error state: lines without prices, error message, Try again, checkout hidden; Empty state "Your cart is empty" with link to Find parts, checkout hidden</t>
  </si>
  <si>
    <t>REQ-9, REQ-11, REQ-12, REQ-13, REQ-14, REQ-15, REQ-17, REQ-41, REQ-42, REQ-43, REQ-36, REQ-37</t>
  </si>
  <si>
    <t>EST-13</t>
  </si>
  <si>
    <t>Checkout form and place order (web)</t>
  </si>
  <si>
    <t>Delivery address textarea 5–200 characters, empty each time, with labelled error; Delivery option radio Standard £0.00 / Next day £9.99; Order summary: items, subtotal, delivery charge, total; Place order enabled only when valid; disabled while submitting (one request); Success: show order number, empty cart, link to My orders; Network error toast: check My orders before retrying; server error toast: cart and details kept; 409 conflict: apply stock limits to lines with messages</t>
  </si>
  <si>
    <t>REQ-18, REQ-19, REQ-20, REQ-21, REQ-22, REQ-23, REQ-24, REQ-39, REQ-40, REQ-36, REQ-37</t>
  </si>
  <si>
    <t>EST-14</t>
  </si>
  <si>
    <t>My orders list (web)</t>
  </si>
  <si>
    <t>Table: order, date placed, items, total, status (text label), newest first; Status filter chips: All statuses, Placed, Packed, Dispatched, Delivered, Cancelled; View order opens panel on the same page; States: loading skeleton, empty "No orders yet" with link to Find parts, filtered empty, error with Try again</t>
  </si>
  <si>
    <t>REQ-1, REQ-28, REQ-29, REQ-35, REQ-36, REQ-37</t>
  </si>
  <si>
    <t>EST-15</t>
  </si>
  <si>
    <t>Order detail drawer, timeline and cancel (web)</t>
  </si>
  <si>
    <t>Drawer overlay: lines, address, delivery option, total, status; Timeline Placed → Packed → Dispatched → Delivered with current status marked by text; Cancel order button only while Placed; Confirm dialog (Yes, cancel order / Keep order); Success toast and status Cancelled; 409 toast: can no longer be cancelled, panel refreshes</t>
  </si>
  <si>
    <t>REQ-1, REQ-30, REQ-31, REQ-32, REQ-33, REQ-34, REQ-37</t>
  </si>
  <si>
    <t>EST-16</t>
  </si>
  <si>
    <t>QA Estimates for Parts Quick Order</t>
  </si>
  <si>
    <t>Grand Total Efforts (in hours)</t>
  </si>
  <si>
    <t>Sum of QA and Misc.</t>
  </si>
  <si>
    <t>Estimation Summary</t>
  </si>
  <si>
    <t>Test Plan/Strategy</t>
  </si>
  <si>
    <t>Test planning, with the test plan, strategy and traceability matrix as outputs. Not sized in this estimate</t>
  </si>
  <si>
    <t>Set up of Test Environments</t>
  </si>
  <si>
    <t>Setting up code and white box test environments. Not sized in this estimate</t>
  </si>
  <si>
    <t>Validation and Smoke test cases</t>
  </si>
  <si>
    <t>Test cases to execute while debugging and white box testing</t>
  </si>
  <si>
    <t>Test cases: Find parts and parts API, including load test</t>
  </si>
  <si>
    <t>API cases AC-2.x to AC-7.x; Load test AC-38.1 (p95 &lt; 500 ms) and AC-38.2 (2 s first page); Manual cases for paging reset, clear button, disabled Add to cart</t>
  </si>
  <si>
    <t>REQ-2, REQ-3, REQ-4, REQ-5, REQ-6, REQ-7, REQ-8, REQ-10, REQ-38</t>
  </si>
  <si>
    <t>EST-17</t>
  </si>
  <si>
    <t>Test cases: Cart, checkout and place order</t>
  </si>
  <si>
    <t>CartStore and CheckoutForm unit cases; Orders API cases for 201, 400, 409, stock unchanged; Manual cases for error, conflict, price failure and success states</t>
  </si>
  <si>
    <t>REQ-11, REQ-12, REQ-13, REQ-14, REQ-15, REQ-16, REQ-17, REQ-18, REQ-19, REQ-20, REQ-21, REQ-22, REQ-23, REQ-24, REQ-25, REQ-39, REQ-40, REQ-41, REQ-42, REQ-43</t>
  </si>
  <si>
    <t>EST-18</t>
  </si>
  <si>
    <t>Test cases: My orders and cancel</t>
  </si>
  <si>
    <t>Ownership 404 cases; List order, filter, detail cases; Cancel success and 409 cases, confirmation decline</t>
  </si>
  <si>
    <t>REQ-27, REQ-28, REQ-29, REQ-30, REQ-31, REQ-32, REQ-33, REQ-34, REQ-35</t>
  </si>
  <si>
    <t>EST-19</t>
  </si>
  <si>
    <t>Validation testing</t>
  </si>
  <si>
    <t>Testing cycles; the detail is below</t>
  </si>
  <si>
    <t>Testing Cycle 1</t>
  </si>
  <si>
    <t>Smoke testing</t>
  </si>
  <si>
    <t>Smoke testing after each deployment, including preparation. Not sized in this estimate</t>
  </si>
  <si>
    <t>Multi Browser Compatibility testing</t>
  </si>
  <si>
    <t>Browser, OS and device compatibility</t>
  </si>
  <si>
    <t>Test cases: accessibility, responsive and browsers</t>
  </si>
  <si>
    <t>Automated axe scan per screen, 0 serious or critical (NFR-3); Keyboard-only journey with screen reader labels; 360/768/1280 px widths on latest 2 Chrome, Edge, Safari, Firefox</t>
  </si>
  <si>
    <t>REQ-1, REQ-36, REQ-37</t>
  </si>
  <si>
    <t>EST-20</t>
  </si>
  <si>
    <t>UAT</t>
  </si>
  <si>
    <t>Client user acceptance testing support</t>
  </si>
  <si>
    <t>Client acceptance testing</t>
  </si>
  <si>
    <t>Client UAT delivers no requirement on its own</t>
  </si>
  <si>
    <t>Human</t>
  </si>
  <si>
    <t>EST-24</t>
  </si>
  <si>
    <t>Misc. Optional testing</t>
  </si>
  <si>
    <t>Other testing named in the breakdown, and supervisor gate time. Not sized in this estimate</t>
  </si>
  <si>
    <t>Total QA Efforts</t>
  </si>
  <si>
    <t>Total hours of QA</t>
  </si>
  <si>
    <t>Validation Testing</t>
  </si>
  <si>
    <t>End-to-end test: find, add, check out, view and cancel</t>
  </si>
  <si>
    <t>Search, add to cart, header count, place order, order number, open in My orders, cancel</t>
  </si>
  <si>
    <t>REQ-1, REQ-4, REQ-8, REQ-9, REQ-18, REQ-20, REQ-23, REQ-28, REQ-30, REQ-32, REQ-33</t>
  </si>
  <si>
    <t>EST-21</t>
  </si>
  <si>
    <t>Total Testing Cycle 1</t>
  </si>
  <si>
    <t>Sum of testing cycle 1</t>
  </si>
  <si>
    <t>Design Estimates for Parts Quick Order</t>
  </si>
  <si>
    <t>Client design review and approval</t>
  </si>
  <si>
    <t>Client walkthrough and sign-off of the approved design</t>
  </si>
  <si>
    <t>EST-23</t>
  </si>
  <si>
    <t>Other Estimates for Parts Quick Order</t>
  </si>
  <si>
    <t>GD</t>
  </si>
  <si>
    <t>GD TOTAL</t>
  </si>
  <si>
    <t>PM</t>
  </si>
  <si>
    <t>Project management: client liaison</t>
  </si>
  <si>
    <t>Client calls, scope decisions and sign-offs</t>
  </si>
  <si>
    <t>EST-25</t>
  </si>
  <si>
    <t>PM TOTAL</t>
  </si>
  <si>
    <t>PDM</t>
  </si>
  <si>
    <t>Handover notes</t>
  </si>
  <si>
    <t>Documentation delivers no requirement on its own</t>
  </si>
  <si>
    <t>EST-26</t>
  </si>
  <si>
    <t>PDM TOTAL</t>
  </si>
  <si>
    <t>Cross-cutting</t>
  </si>
  <si>
    <t>Cross-cutting TOTAL</t>
  </si>
  <si>
    <t>All tasks: Parts Quick Order</t>
  </si>
  <si>
    <t>Filter or sort any column. The Total row adds up only the rows the filter shows.</t>
  </si>
  <si>
    <t>Track</t>
  </si>
  <si>
    <t>Module</t>
  </si>
  <si>
    <t>Backend</t>
  </si>
  <si>
    <t>Web</t>
  </si>
  <si>
    <t>QA</t>
  </si>
  <si>
    <t>Design</t>
  </si>
  <si>
    <t>Total (rows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</si>
</sst>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0;&quot;–&quot;"/>
    <numFmt numFmtId="165" formatCode="mm/dd/yyyy"/>
  </numFmts>
  <fonts count="18" x14ac:knownFonts="1">
    <font>
      <color theme="1"/>
      <family val="2"/>
      <scheme val="minor"/>
      <sz val="11"/>
      <name val="Calibri"/>
    </font>
    <font>
      <color rgb="FF595959"/>
      <sz val="11"/>
      <name val="Calibri"/>
    </font>
    <font>
      <b/>
      <color theme="0"/>
      <sz val="16"/>
      <name val="Calibri"/>
    </font>
    <font>
      <b/>
      <color theme="1"/>
      <sz val="11"/>
      <name val="Calibri"/>
    </font>
    <font>
      <color rgb="FF000000"/>
      <sz val="11"/>
      <name val="Calibri"/>
    </font>
    <font>
      <i/>
      <color rgb="FF7F7F7F"/>
      <sz val="11"/>
      <name val="Calibri"/>
    </font>
    <font>
      <b/>
      <color theme="0"/>
      <sz val="11"/>
      <name val="Calibri"/>
    </font>
    <font>
      <color theme="1"/>
      <scheme val="minor"/>
      <name val="Arial"/>
    </font>
    <font>
      <color theme="1"/>
      <sz val="11"/>
      <name val="Calibri"/>
    </font>
    <font>
      <i/>
      <color theme="1"/>
      <sz val="11"/>
      <name val="Calibri"/>
    </font>
    <font>
      <color rgb="FFFFFFFF"/>
      <sz val="18"/>
      <name val="Calibri"/>
    </font>
    <font>
      <color rgb="FF000000"/>
      <sz val="14"/>
      <name val="Calibri"/>
    </font>
    <font>
      <b/>
      <color theme="1"/>
      <sz val="14"/>
      <name val="Calibri"/>
    </font>
    <font>
      <b/>
      <color rgb="FFFFFFFF"/>
      <sz val="11"/>
      <name val="Calibri"/>
    </font>
    <font>
      <b/>
      <color rgb="FF3F3F3F"/>
      <sz val="11"/>
      <name val="Calibri"/>
    </font>
    <font>
      <i/>
    </font>
    <font>
      <b/>
      <sz val="14"/>
    </font>
    <font>
      <b/>
    </font>
  </fonts>
  <fills count="5">
    <fill>
      <patternFill patternType="none"/>
    </fill>
    <fill>
      <patternFill patternType="gray125"/>
    </fill>
    <fill>
      <patternFill patternType="solid">
        <fgColor rgb="FF7F7F7F"/>
        <bgColor rgb="FF7F7F7F"/>
      </patternFill>
    </fill>
    <fill>
      <patternFill patternType="solid">
        <fgColor rgb="FFF2F2F2"/>
        <bgColor rgb="FFF2F2F2"/>
      </patternFill>
    </fill>
    <fill>
      <patternFill patternType="solid">
        <fgColor rgb="FFD9E1F2"/>
      </patternFill>
    </fill>
  </fills>
  <borders count="3">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0">
    <xf numFmtId="0" fontId="0" fillId="0" borderId="0" xfId="0"/>
    <xf numFmtId="0" fontId="1" fillId="0" borderId="0" xfId="0" applyFont="1"/>
    <xf numFmtId="0" fontId="2" fillId="2" borderId="0" xfId="0" applyFont="1" applyFill="1" applyAlignment="1">
      <alignment horizontal="center"/>
    </xf>
    <xf numFmtId="0" fontId="3" fillId="0" borderId="0" xfId="0" applyFont="1"/>
    <xf numFmtId="0" fontId="4" fillId="0" borderId="0" xfId="0" applyFont="1" applyAlignment="1">
      <alignment horizontal="left"/>
    </xf>
    <xf numFmtId="0" fontId="5" fillId="0" borderId="1" xfId="0" applyFont="1" applyBorder="1" applyAlignment="1">
      <alignment horizontal="center"/>
    </xf>
    <xf numFmtId="0" fontId="6" fillId="2" borderId="2" xfId="0" applyFont="1" applyFill="1" applyBorder="1" applyAlignment="1">
      <alignment horizontal="center"/>
    </xf>
    <xf numFmtId="0" fontId="6" fillId="2" borderId="2" xfId="0" applyFont="1" applyFill="1" applyBorder="1"/>
    <xf numFmtId="0" fontId="7" fillId="0" borderId="0" xfId="0" applyFont="1" applyAlignment="1">
      <alignment readingOrder="1"/>
    </xf>
    <xf numFmtId="0" fontId="8" fillId="0" borderId="2" xfId="0" applyFont="1" applyBorder="1" applyAlignment="1">
      <alignment readingOrder="1"/>
    </xf>
    <xf numFmtId="164" fontId="4" fillId="0" borderId="2" xfId="0" applyNumberFormat="1" applyFont="1" applyBorder="1"/>
    <xf numFmtId="0" fontId="8" fillId="0" borderId="2" xfId="0" applyFont="1" applyBorder="1"/>
    <xf numFmtId="164" fontId="8" fillId="0" borderId="0" xfId="0" applyNumberFormat="1" applyFont="1"/>
    <xf numFmtId="164" fontId="8" fillId="0" borderId="0" xfId="0" applyNumberFormat="1" applyFont="1" applyAlignment="1">
      <alignment readingOrder="1"/>
    </xf>
    <xf numFmtId="164" fontId="8" fillId="0" borderId="2" xfId="0" applyNumberFormat="1" applyFont="1" applyBorder="1"/>
    <xf numFmtId="0" fontId="9" fillId="0" borderId="2" xfId="0" applyFont="1" applyBorder="1" applyAlignment="1">
      <alignment horizontal="left"/>
    </xf>
    <xf numFmtId="164" fontId="0" fillId="0" borderId="0" xfId="0" applyNumberFormat="1"/>
    <xf numFmtId="0" fontId="10" fillId="2" borderId="0" xfId="0" applyFont="1" applyFill="1" applyAlignment="1">
      <alignment horizontal="center" vertical="center"/>
    </xf>
    <xf numFmtId="165" fontId="11" fillId="0" borderId="0" xfId="0" applyNumberFormat="1" applyFont="1" applyAlignment="1">
      <alignment horizontal="center" vertical="center" readingOrder="1"/>
    </xf>
    <xf numFmtId="0" fontId="11" fillId="0" borderId="0" xfId="0" applyFont="1" applyAlignment="1">
      <alignment horizontal="center" vertical="center" readingOrder="1"/>
    </xf>
    <xf numFmtId="0" fontId="12" fillId="0" borderId="0" xfId="0" applyFont="1" applyAlignment="1">
      <alignment horizontal="right" vertical="center"/>
    </xf>
    <xf numFmtId="164" fontId="12" fillId="0" borderId="0" xfId="0" applyNumberFormat="1" applyFont="1" applyAlignment="1">
      <alignment vertical="center"/>
    </xf>
    <xf numFmtId="0" fontId="8" fillId="0" borderId="0" xfId="0" applyFont="1" applyAlignment="1">
      <alignment vertical="center"/>
    </xf>
    <xf numFmtId="0" fontId="6" fillId="2" borderId="2" xfId="0" applyFont="1" applyFill="1" applyBorder="1" applyAlignment="1">
      <alignment vertical="center"/>
    </xf>
    <xf numFmtId="0" fontId="13" fillId="2" borderId="2" xfId="0" applyFont="1" applyFill="1" applyBorder="1" applyAlignment="1">
      <alignment horizontal="center" vertical="center"/>
    </xf>
    <xf numFmtId="0" fontId="6" fillId="2" borderId="2" xfId="0" applyFont="1" applyFill="1" applyBorder="1" applyAlignment="1">
      <alignment vertical="center" wrapText="1"/>
    </xf>
    <xf numFmtId="0" fontId="14" fillId="3" borderId="2" xfId="0" applyFont="1" applyFill="1" applyBorder="1" applyAlignment="1">
      <alignment horizontal="right"/>
    </xf>
    <xf numFmtId="0" fontId="14" fillId="3" borderId="2" xfId="0" applyFont="1" applyFill="1" applyBorder="1" applyAlignment="1">
      <alignment readingOrder="1"/>
    </xf>
    <xf numFmtId="164" fontId="14" fillId="3" borderId="2" xfId="0" applyNumberFormat="1" applyFont="1" applyFill="1" applyBorder="1" applyAlignment="1">
      <alignment horizontal="right"/>
    </xf>
    <xf numFmtId="0" fontId="8" fillId="3" borderId="2" xfId="0" applyFont="1" applyFill="1" applyBorder="1"/>
    <xf numFmtId="0" fontId="4" fillId="0" borderId="2" xfId="0" applyFont="1" applyBorder="1" applyAlignment="1">
      <alignment readingOrder="1"/>
    </xf>
    <xf numFmtId="164" fontId="4" fillId="0" borderId="2" xfId="0" applyNumberFormat="1" applyFont="1" applyBorder="1" applyAlignment="1">
      <alignment horizontal="right" readingOrder="1"/>
    </xf>
    <xf numFmtId="0" fontId="14" fillId="3" borderId="2" xfId="0" applyFont="1" applyFill="1" applyBorder="1" applyAlignment="1">
      <alignment horizontal="right" vertical="center"/>
    </xf>
    <xf numFmtId="164" fontId="14" fillId="3" borderId="2" xfId="0" applyNumberFormat="1" applyFont="1" applyFill="1" applyBorder="1" applyAlignment="1">
      <alignment vertical="center"/>
    </xf>
    <xf numFmtId="0" fontId="14" fillId="3" borderId="2" xfId="0" applyFont="1" applyFill="1" applyBorder="1" applyAlignment="1">
      <alignment vertical="center"/>
    </xf>
    <xf numFmtId="0" fontId="15" fillId="0" borderId="0" xfId="0" applyFont="1"/>
    <xf numFmtId="0" fontId="16" fillId="0" borderId="0" xfId="0" applyFont="1"/>
    <xf numFmtId="0" fontId="17" fillId="4" borderId="0" xfId="0" applyFont="1" applyFill="1"/>
    <xf numFmtId="0" fontId="17" fillId="0" borderId="0" xfId="0" applyFont="1"/>
    <xf numFmtId="164" fontId="17"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90"/>
  <sheetFormatPr defaultRowHeight="15" outlineLevelRow="0" outlineLevelCol="0" x14ac:dyDescent="55"/>
  <cols>
    <col min="1" max="1" width="7.75" customWidth="1"/>
    <col min="2" max="2" width="33.13" customWidth="1"/>
    <col min="3" max="3" width="9.88" customWidth="1"/>
    <col min="4" max="4" width="10.63" customWidth="1"/>
    <col min="5" max="5" width="42.38" customWidth="1"/>
    <col min="6" max="7" width="14" customWidth="1"/>
    <col min="8" max="10" width="12" customWidth="1"/>
  </cols>
  <sheetData>
    <row r="1" spans="2:2" x14ac:dyDescent="0.25">
      <c r="B1" s="1" t="s">
        <v>0</v>
      </c>
    </row>
    <row r="2" spans="2:5" x14ac:dyDescent="0.25">
      <c r="B2" s="2" t="s">
        <v>1</v>
      </c>
      <c r="C2" s="2"/>
      <c r="D2" s="2"/>
      <c r="E2" s="2"/>
    </row>
    <row r="3" spans="2:5" x14ac:dyDescent="0.25">
      <c r="B3" s="2" t="s">
        <v>2</v>
      </c>
      <c r="C3" s="2"/>
      <c r="D3" s="2"/>
      <c r="E3" s="2"/>
    </row>
    <row r="5" spans="2:3" x14ac:dyDescent="0.25">
      <c r="B5" s="3" t="s">
        <v>3</v>
      </c>
      <c r="C5" s="4" t="s">
        <v>4</v>
      </c>
    </row>
    <row r="6" spans="2:3" x14ac:dyDescent="0.25">
      <c r="B6" s="3" t="s">
        <v>5</v>
      </c>
      <c r="C6" s="4" t="s">
        <v>6</v>
      </c>
    </row>
    <row r="7" spans="2:3" x14ac:dyDescent="0.25">
      <c r="B7" s="3" t="s">
        <v>7</v>
      </c>
      <c r="C7" s="4" t="s">
        <v>8</v>
      </c>
    </row>
    <row r="8" spans="2:3" x14ac:dyDescent="0.25">
      <c r="B8" s="3" t="s">
        <v>9</v>
      </c>
      <c r="C8" s="4" t="s">
        <v>10</v>
      </c>
    </row>
    <row r="9" spans="3:4" x14ac:dyDescent="0.25">
      <c r="C9" s="5" t="s">
        <v>11</v>
      </c>
      <c r="D9" s="5"/>
    </row>
    <row r="10" spans="2:10" x14ac:dyDescent="0.25">
      <c r="B10" s="6" t="s">
        <v>12</v>
      </c>
      <c r="C10" s="7" t="s">
        <v>13</v>
      </c>
      <c r="D10" s="7" t="s">
        <v>14</v>
      </c>
      <c r="E10" s="7" t="s">
        <v>15</v>
      </c>
      <c r="H10" s="8" t="s">
        <v>16</v>
      </c>
      <c r="I10" s="8" t="s">
        <v>17</v>
      </c>
      <c r="J10" s="8" t="s">
        <v>18</v>
      </c>
    </row>
    <row r="11" spans="2:10" x14ac:dyDescent="0.25">
      <c r="B11" s="9" t="s">
        <v>19</v>
      </c>
      <c r="C11" s="10">
        <f>'Dev Backend Estimates'!D6</f>
        <v>62.58</v>
      </c>
      <c r="D11" s="10">
        <f>'Dev Backend Estimates'!E6</f>
        <v>110.56</v>
      </c>
      <c r="E11" s="11" t="s">
        <v>20</v>
      </c>
      <c r="H11" s="12">
        <f>ROUND((C11+D11)/2,2)</f>
        <v>86.57</v>
      </c>
      <c r="I11" s="13">
        <v>1</v>
      </c>
      <c r="J11" s="12">
        <f>ROUND(H11/($C$48*I11),2)</f>
        <v>2.16</v>
      </c>
    </row>
    <row r="12" spans="2:10" x14ac:dyDescent="0.25">
      <c r="B12" s="9" t="s">
        <v>21</v>
      </c>
      <c r="C12" s="10">
        <f>'Dev Mobile Estimates'!D6</f>
        <v>0</v>
      </c>
      <c r="D12" s="10">
        <f>'Dev Mobile Estimates'!E6</f>
        <v>0</v>
      </c>
      <c r="E12" s="11" t="s">
        <v>22</v>
      </c>
      <c r="H12" s="12">
        <f>ROUND((C12+D12)/2,2)</f>
        <v>0</v>
      </c>
      <c r="I12" s="13">
        <v>1</v>
      </c>
      <c r="J12" s="12">
        <f>ROUND(H12/($C$48*I12),2)</f>
        <v>0</v>
      </c>
    </row>
    <row r="13" spans="2:10" x14ac:dyDescent="0.25">
      <c r="B13" s="9" t="s">
        <v>23</v>
      </c>
      <c r="C13" s="10">
        <f>'Dev Web Estimates'!D6</f>
        <v>64.41</v>
      </c>
      <c r="D13" s="10">
        <f>'Dev Web Estimates'!E6</f>
        <v>107.6</v>
      </c>
      <c r="E13" s="11" t="s">
        <v>24</v>
      </c>
      <c r="H13" s="12">
        <f>ROUND((C13+D13)/2,2)</f>
        <v>86.01</v>
      </c>
      <c r="I13" s="13">
        <v>1</v>
      </c>
      <c r="J13" s="12">
        <f>ROUND(H13/($C$48*I13),2)</f>
        <v>2.15</v>
      </c>
    </row>
    <row r="14" spans="2:10" x14ac:dyDescent="0.25">
      <c r="B14" s="9" t="s">
        <v>25</v>
      </c>
      <c r="C14" s="10">
        <f>'QA Estimates'!D6</f>
        <v>22.9</v>
      </c>
      <c r="D14" s="10">
        <f>'QA Estimates'!E6</f>
        <v>43.8</v>
      </c>
      <c r="E14" s="11" t="s">
        <v>26</v>
      </c>
      <c r="H14" s="12">
        <f>ROUND((C14+D14)/2,2)</f>
        <v>33.35</v>
      </c>
      <c r="I14" s="13">
        <v>1</v>
      </c>
      <c r="J14" s="12">
        <f>ROUND(H14/($C$48*I14),2)</f>
        <v>0.83</v>
      </c>
    </row>
    <row r="15" spans="2:10" x14ac:dyDescent="0.25">
      <c r="B15" s="9" t="s">
        <v>27</v>
      </c>
      <c r="C15" s="10">
        <f>'Other Estimates'!D10</f>
        <v>0</v>
      </c>
      <c r="D15" s="10">
        <f>'Other Estimates'!E10</f>
        <v>0</v>
      </c>
      <c r="E15" s="11" t="s">
        <v>28</v>
      </c>
      <c r="H15" s="12">
        <f>ROUND((C15+D15)/2,2)</f>
        <v>0</v>
      </c>
      <c r="I15" s="13">
        <v>1</v>
      </c>
      <c r="J15" s="12">
        <f>ROUND(H15/($C$48*I15),2)</f>
        <v>0</v>
      </c>
    </row>
    <row r="16" spans="2:10" x14ac:dyDescent="0.25">
      <c r="B16" s="9" t="s">
        <v>29</v>
      </c>
      <c r="C16" s="10">
        <f>'Other Estimates'!D16</f>
        <v>4</v>
      </c>
      <c r="D16" s="10">
        <f>'Other Estimates'!E16</f>
        <v>8</v>
      </c>
      <c r="E16" s="11" t="s">
        <v>28</v>
      </c>
      <c r="H16" s="12">
        <f>ROUND((C16+D16)/2,2)</f>
        <v>6</v>
      </c>
      <c r="I16" s="13">
        <v>1</v>
      </c>
      <c r="J16" s="12">
        <f>ROUND(H16/($C$48*I16),2)</f>
        <v>0.15</v>
      </c>
    </row>
    <row r="17" spans="2:10" x14ac:dyDescent="0.25">
      <c r="B17" s="9" t="s">
        <v>30</v>
      </c>
      <c r="C17" s="10">
        <f>'Other Estimates'!D22</f>
        <v>2.88</v>
      </c>
      <c r="D17" s="10">
        <f>'Other Estimates'!E22</f>
        <v>5.76</v>
      </c>
      <c r="E17" s="11" t="s">
        <v>28</v>
      </c>
      <c r="H17" s="12">
        <f>ROUND((C17+D17)/2,2)</f>
        <v>4.32</v>
      </c>
      <c r="I17" s="13">
        <v>1</v>
      </c>
      <c r="J17" s="12">
        <f>ROUND(H17/($C$48*I17),2)</f>
        <v>0.11</v>
      </c>
    </row>
    <row r="18" spans="2:10" x14ac:dyDescent="0.25">
      <c r="B18" s="9" t="s">
        <v>31</v>
      </c>
      <c r="C18" s="10">
        <f>'Other Estimates'!D28</f>
        <v>0</v>
      </c>
      <c r="D18" s="10">
        <f>'Other Estimates'!E28</f>
        <v>0</v>
      </c>
      <c r="E18" s="11" t="s">
        <v>32</v>
      </c>
      <c r="H18" s="12">
        <f>ROUND((C18+D18)/2,2)</f>
        <v>0</v>
      </c>
      <c r="I18" s="13">
        <v>1</v>
      </c>
      <c r="J18" s="12">
        <f>ROUND(H18/($C$48*I18),2)</f>
        <v>0</v>
      </c>
    </row>
    <row r="19" spans="2:10" x14ac:dyDescent="0.25">
      <c r="B19" s="9" t="s">
        <v>33</v>
      </c>
      <c r="C19" s="10">
        <f>'Design Estimates'!D6</f>
        <v>2</v>
      </c>
      <c r="D19" s="10">
        <f>'Design Estimates'!E6</f>
        <v>4</v>
      </c>
      <c r="E19" s="11" t="s">
        <v>34</v>
      </c>
      <c r="H19" s="12">
        <f>ROUND((C19+D19)/2,2)</f>
        <v>3</v>
      </c>
      <c r="I19" s="13">
        <v>1</v>
      </c>
      <c r="J19" s="12">
        <f>ROUND(H19/($C$48*I19),2)</f>
        <v>0.08</v>
      </c>
    </row>
    <row r="20" spans="2:8" x14ac:dyDescent="0.25">
      <c r="B20" s="11" t="s">
        <v>35</v>
      </c>
      <c r="C20" s="14">
        <f>SUM(C11:C18)+IF($C$47="Yes",C19,0)</f>
        <v>158.77</v>
      </c>
      <c r="D20" s="14">
        <f>SUM(D11:D18)+IF($C$47="Yes",D19,0)</f>
        <v>279.72</v>
      </c>
      <c r="H20" s="14">
        <f>ROUND((C20+D20)/2,2)</f>
        <v>219.25</v>
      </c>
    </row>
    <row r="23" spans="2:2" x14ac:dyDescent="0.25">
      <c r="B23" s="3" t="s">
        <v>36</v>
      </c>
    </row>
    <row r="24" spans="2:5" x14ac:dyDescent="0.25">
      <c r="B24" s="6" t="s">
        <v>37</v>
      </c>
      <c r="C24" s="6" t="s">
        <v>38</v>
      </c>
      <c r="D24" s="6" t="s">
        <v>39</v>
      </c>
      <c r="E24" s="6" t="s">
        <v>15</v>
      </c>
    </row>
    <row r="25" spans="2:5" x14ac:dyDescent="0.25">
      <c r="B25" s="11" t="s">
        <v>40</v>
      </c>
      <c r="C25" s="15" t="s">
        <v>41</v>
      </c>
      <c r="E25" s="11" t="s">
        <v>42</v>
      </c>
    </row>
    <row r="26" spans="2:5" x14ac:dyDescent="0.25">
      <c r="B26" s="11" t="s">
        <v>43</v>
      </c>
      <c r="C26" s="15" t="s">
        <v>44</v>
      </c>
      <c r="E26" s="11" t="s">
        <v>45</v>
      </c>
    </row>
    <row r="27" spans="2:5" x14ac:dyDescent="0.25">
      <c r="B27" s="11" t="s">
        <v>46</v>
      </c>
      <c r="C27" s="15" t="s">
        <v>47</v>
      </c>
      <c r="E27" s="11" t="s">
        <v>48</v>
      </c>
    </row>
    <row r="28" spans="2:5" x14ac:dyDescent="0.25">
      <c r="B28" s="11" t="s">
        <v>49</v>
      </c>
      <c r="C28" s="15" t="s">
        <v>44</v>
      </c>
      <c r="E28" s="11" t="s">
        <v>45</v>
      </c>
    </row>
    <row r="29" spans="2:5" x14ac:dyDescent="0.25">
      <c r="B29" s="11" t="s">
        <v>50</v>
      </c>
      <c r="C29" s="15" t="s">
        <v>51</v>
      </c>
      <c r="E29" s="11" t="s">
        <v>52</v>
      </c>
    </row>
    <row r="30" spans="2:5" x14ac:dyDescent="0.25">
      <c r="B30" s="11" t="s">
        <v>53</v>
      </c>
      <c r="C30" s="15" t="s">
        <v>44</v>
      </c>
      <c r="E30" s="11" t="s">
        <v>45</v>
      </c>
    </row>
    <row r="31" spans="2:5" x14ac:dyDescent="0.25">
      <c r="B31" s="11" t="s">
        <v>54</v>
      </c>
      <c r="C31" s="15" t="s">
        <v>44</v>
      </c>
      <c r="E31" s="11" t="s">
        <v>45</v>
      </c>
    </row>
    <row r="32" spans="2:5" x14ac:dyDescent="0.25">
      <c r="B32" s="11" t="s">
        <v>55</v>
      </c>
      <c r="C32" s="15" t="s">
        <v>56</v>
      </c>
      <c r="E32" s="11" t="s">
        <v>39</v>
      </c>
    </row>
    <row r="46" spans="2:2" x14ac:dyDescent="0.25">
      <c r="B46" s="3" t="s">
        <v>57</v>
      </c>
    </row>
    <row r="47" spans="2:3" x14ac:dyDescent="0.25">
      <c r="B47" s="3" t="s">
        <v>58</v>
      </c>
      <c r="C47" s="4" t="s">
        <v>59</v>
      </c>
    </row>
    <row r="48" spans="2:3" x14ac:dyDescent="0.25">
      <c r="B48" s="3" t="s">
        <v>60</v>
      </c>
      <c r="C48" s="4">
        <v>40</v>
      </c>
    </row>
    <row r="49" spans="2:3" x14ac:dyDescent="0.25">
      <c r="B49" s="3" t="s">
        <v>61</v>
      </c>
      <c r="C49" s="4">
        <v>2</v>
      </c>
    </row>
    <row r="50" spans="2:3" x14ac:dyDescent="0.25">
      <c r="B50" s="3" t="s">
        <v>62</v>
      </c>
      <c r="C50" s="4" t="s">
        <v>63</v>
      </c>
    </row>
    <row r="51" spans="2:3" x14ac:dyDescent="0.25">
      <c r="B51" s="3" t="s">
        <v>64</v>
      </c>
      <c r="C51" s="4" t="s">
        <v>65</v>
      </c>
    </row>
    <row r="55" spans="2:2" x14ac:dyDescent="0.25">
      <c r="B55" s="3" t="s">
        <v>66</v>
      </c>
    </row>
    <row r="56" spans="2:2" x14ac:dyDescent="0.25">
      <c r="B56" s="11" t="s">
        <v>67</v>
      </c>
    </row>
    <row r="58" spans="2:2" x14ac:dyDescent="0.25">
      <c r="B58" s="3" t="s">
        <v>68</v>
      </c>
    </row>
    <row r="59" spans="2:3" x14ac:dyDescent="0.25">
      <c r="B59" s="11" t="s">
        <v>69</v>
      </c>
      <c r="C59" s="16">
        <v>0</v>
      </c>
    </row>
    <row r="60" spans="2:4" x14ac:dyDescent="0.25">
      <c r="B60" s="11" t="s">
        <v>70</v>
      </c>
      <c r="C60" s="16">
        <v>10.45</v>
      </c>
      <c r="D60" s="16">
        <v>17.74</v>
      </c>
    </row>
    <row r="62" spans="2:2" x14ac:dyDescent="0.25">
      <c r="B62" s="3" t="s">
        <v>71</v>
      </c>
    </row>
    <row r="63" spans="2:2" x14ac:dyDescent="0.25">
      <c r="B63" s="11" t="s">
        <v>72</v>
      </c>
    </row>
    <row r="64" spans="2:2" x14ac:dyDescent="0.25">
      <c r="B64" s="11" t="s">
        <v>73</v>
      </c>
    </row>
    <row r="65" spans="2:2" x14ac:dyDescent="0.25">
      <c r="B65" s="11" t="s">
        <v>74</v>
      </c>
    </row>
    <row r="66" spans="2:2" x14ac:dyDescent="0.25">
      <c r="B66" s="11" t="s">
        <v>75</v>
      </c>
    </row>
    <row r="67" spans="2:2" x14ac:dyDescent="0.25">
      <c r="B67" s="11" t="s">
        <v>76</v>
      </c>
    </row>
    <row r="68" spans="2:2" x14ac:dyDescent="0.25">
      <c r="B68" s="11" t="s">
        <v>77</v>
      </c>
    </row>
    <row r="69" spans="2:2" x14ac:dyDescent="0.25">
      <c r="B69" s="11" t="s">
        <v>78</v>
      </c>
    </row>
    <row r="70" spans="2:2" x14ac:dyDescent="0.25">
      <c r="B70" s="11" t="s">
        <v>79</v>
      </c>
    </row>
    <row r="71" spans="2:2" x14ac:dyDescent="0.25">
      <c r="B71" s="11" t="s">
        <v>80</v>
      </c>
    </row>
    <row r="72" spans="2:2" x14ac:dyDescent="0.25">
      <c r="B72" s="11" t="s">
        <v>81</v>
      </c>
    </row>
    <row r="73" spans="2:2" x14ac:dyDescent="0.25">
      <c r="B73" s="11" t="s">
        <v>82</v>
      </c>
    </row>
    <row r="74" spans="2:2" x14ac:dyDescent="0.25">
      <c r="B74" s="11" t="s">
        <v>83</v>
      </c>
    </row>
    <row r="75" spans="2:2" x14ac:dyDescent="0.25">
      <c r="B75" s="11" t="s">
        <v>84</v>
      </c>
    </row>
    <row r="76" spans="2:2" x14ac:dyDescent="0.25">
      <c r="B76" s="11" t="s">
        <v>85</v>
      </c>
    </row>
    <row r="77" spans="2:2" x14ac:dyDescent="0.25">
      <c r="B77" s="11" t="s">
        <v>86</v>
      </c>
    </row>
    <row r="78" spans="2:2" x14ac:dyDescent="0.25">
      <c r="B78" s="11" t="s">
        <v>87</v>
      </c>
    </row>
    <row r="79" spans="2:2" x14ac:dyDescent="0.25">
      <c r="B79" s="11" t="s">
        <v>88</v>
      </c>
    </row>
    <row r="80" spans="2:2" x14ac:dyDescent="0.25">
      <c r="B80" s="11" t="s">
        <v>89</v>
      </c>
    </row>
    <row r="81" spans="2:2" x14ac:dyDescent="0.25">
      <c r="B81" s="11" t="s">
        <v>90</v>
      </c>
    </row>
    <row r="82" spans="2:2" x14ac:dyDescent="0.25">
      <c r="B82" s="11" t="s">
        <v>91</v>
      </c>
    </row>
    <row r="83" spans="2:2" x14ac:dyDescent="0.25">
      <c r="B83" s="11" t="s">
        <v>92</v>
      </c>
    </row>
    <row r="84" spans="2:2" x14ac:dyDescent="0.25">
      <c r="B84" s="11" t="s">
        <v>93</v>
      </c>
    </row>
    <row r="85" spans="2:2" x14ac:dyDescent="0.25">
      <c r="B85" s="11" t="s">
        <v>94</v>
      </c>
    </row>
    <row r="86" spans="2:2" x14ac:dyDescent="0.25">
      <c r="B86" s="11" t="s">
        <v>95</v>
      </c>
    </row>
    <row r="87" spans="2:2" x14ac:dyDescent="0.25">
      <c r="B87" s="11" t="s">
        <v>96</v>
      </c>
    </row>
    <row r="88" spans="2:2" x14ac:dyDescent="0.25">
      <c r="B88" s="11" t="s">
        <v>97</v>
      </c>
    </row>
    <row r="89" spans="2:2" x14ac:dyDescent="0.25">
      <c r="B89" s="11" t="s">
        <v>98</v>
      </c>
    </row>
    <row r="90" spans="2:2" x14ac:dyDescent="0.25">
      <c r="B90" s="11" t="s">
        <v>99</v>
      </c>
    </row>
  </sheetData>
  <mergeCells count="3">
    <mergeCell ref="B2:E2"/>
    <mergeCell ref="B3:E3"/>
    <mergeCell ref="C9:D9"/>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71"/>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9" max="9" width="13" customWidth="1"/>
    <col min="10" max="11" width="12" customWidth="1"/>
    <col min="12" max="26" width="7.75" customWidth="1"/>
  </cols>
  <sheetData>
    <row r="2" spans="2:6" x14ac:dyDescent="0.25">
      <c r="B2" s="17" t="s">
        <v>100</v>
      </c>
      <c r="C2" s="17"/>
      <c r="D2" s="17"/>
      <c r="E2" s="17"/>
      <c r="F2" s="17"/>
    </row>
    <row r="3" spans="2:6" x14ac:dyDescent="0.25">
      <c r="B3" s="18" t="s">
        <v>8</v>
      </c>
      <c r="C3" s="18"/>
      <c r="D3" s="18"/>
      <c r="E3" s="18"/>
      <c r="F3" s="18"/>
    </row>
    <row r="4" spans="2:6" x14ac:dyDescent="0.25">
      <c r="B4" s="19" t="s">
        <v>101</v>
      </c>
      <c r="C4" s="19"/>
      <c r="D4" s="19"/>
      <c r="E4" s="19"/>
      <c r="F4" s="19"/>
    </row>
    <row r="6" spans="3:6" x14ac:dyDescent="0.25">
      <c r="C6" s="20" t="s">
        <v>102</v>
      </c>
      <c r="D6" s="21">
        <f>D26+D31+D36</f>
        <v>62.58</v>
      </c>
      <c r="E6" s="21">
        <f>E26+E31+E36</f>
        <v>110.56</v>
      </c>
      <c r="F6" s="22" t="s">
        <v>103</v>
      </c>
    </row>
    <row r="8" spans="2:9" x14ac:dyDescent="0.25">
      <c r="B8" s="23" t="s">
        <v>104</v>
      </c>
      <c r="C8" s="24" t="s">
        <v>105</v>
      </c>
      <c r="D8" s="25" t="s">
        <v>13</v>
      </c>
      <c r="E8" s="25" t="s">
        <v>14</v>
      </c>
      <c r="F8" s="23" t="s">
        <v>15</v>
      </c>
      <c r="G8" s="23" t="s">
        <v>106</v>
      </c>
      <c r="H8" s="23" t="s">
        <v>107</v>
      </c>
      <c r="I8" s="23" t="s">
        <v>108</v>
      </c>
    </row>
    <row r="9" spans="2:6" x14ac:dyDescent="0.25">
      <c r="B9" s="26">
        <v>1</v>
      </c>
      <c r="C9" s="27" t="s">
        <v>109</v>
      </c>
      <c r="D9" s="28">
        <f>SUM(D10:D10)</f>
        <v>17.47</v>
      </c>
      <c r="E9" s="28">
        <f>SUM(E10:E10)</f>
        <v>30.58</v>
      </c>
      <c r="F9" s="29" t="s">
        <v>39</v>
      </c>
    </row>
    <row r="10" spans="2:9" x14ac:dyDescent="0.25">
      <c r="B10" s="11" t="s">
        <v>39</v>
      </c>
      <c r="C10" s="30" t="s">
        <v>110</v>
      </c>
      <c r="D10" s="31">
        <v>17.47</v>
      </c>
      <c r="E10" s="31">
        <v>30.58</v>
      </c>
      <c r="F10" s="9" t="s">
        <v>111</v>
      </c>
      <c r="G10" t="s">
        <v>112</v>
      </c>
      <c r="H10" t="s">
        <v>39</v>
      </c>
      <c r="I10" t="s">
        <v>113</v>
      </c>
    </row>
    <row r="12" spans="2:6" x14ac:dyDescent="0.25">
      <c r="B12" s="26">
        <v>2</v>
      </c>
      <c r="C12" s="27" t="s">
        <v>114</v>
      </c>
      <c r="D12" s="28">
        <f>SUM(D13:D14)</f>
        <v>5.52</v>
      </c>
      <c r="E12" s="28">
        <f>SUM(E13:E14)</f>
        <v>11.04</v>
      </c>
      <c r="F12" s="29" t="s">
        <v>39</v>
      </c>
    </row>
    <row r="13" spans="2:9" x14ac:dyDescent="0.25">
      <c r="B13" s="11" t="s">
        <v>39</v>
      </c>
      <c r="C13" s="30" t="s">
        <v>115</v>
      </c>
      <c r="D13" s="31">
        <v>3.9</v>
      </c>
      <c r="E13" s="31">
        <v>7.8</v>
      </c>
      <c r="F13" s="9" t="s">
        <v>116</v>
      </c>
      <c r="G13" t="s">
        <v>117</v>
      </c>
      <c r="H13" t="s">
        <v>118</v>
      </c>
      <c r="I13" t="s">
        <v>119</v>
      </c>
    </row>
    <row r="14" spans="2:9" x14ac:dyDescent="0.25">
      <c r="B14" s="11" t="s">
        <v>39</v>
      </c>
      <c r="C14" s="30" t="s">
        <v>120</v>
      </c>
      <c r="D14" s="31">
        <v>1.62</v>
      </c>
      <c r="E14" s="31">
        <v>3.24</v>
      </c>
      <c r="F14" s="9" t="s">
        <v>121</v>
      </c>
      <c r="G14" t="s">
        <v>117</v>
      </c>
      <c r="H14" t="s">
        <v>122</v>
      </c>
      <c r="I14" t="s">
        <v>123</v>
      </c>
    </row>
    <row r="16" spans="2:6" x14ac:dyDescent="0.25">
      <c r="B16" s="26">
        <v>3</v>
      </c>
      <c r="C16" s="27" t="s">
        <v>124</v>
      </c>
      <c r="D16" s="28">
        <f>SUM(D17:D18)</f>
        <v>14.96</v>
      </c>
      <c r="E16" s="28">
        <f>SUM(E17:E18)</f>
        <v>26.72</v>
      </c>
      <c r="F16" s="29" t="s">
        <v>39</v>
      </c>
    </row>
    <row r="17" spans="2:9" x14ac:dyDescent="0.25">
      <c r="B17" s="11" t="s">
        <v>39</v>
      </c>
      <c r="C17" s="30" t="s">
        <v>125</v>
      </c>
      <c r="D17" s="31">
        <v>2.16</v>
      </c>
      <c r="E17" s="31">
        <v>4.32</v>
      </c>
      <c r="F17" s="9" t="s">
        <v>126</v>
      </c>
      <c r="G17" t="s">
        <v>117</v>
      </c>
      <c r="H17" t="s">
        <v>127</v>
      </c>
      <c r="I17" t="s">
        <v>128</v>
      </c>
    </row>
    <row r="18" spans="2:9" x14ac:dyDescent="0.25">
      <c r="B18" s="11" t="s">
        <v>39</v>
      </c>
      <c r="C18" s="30" t="s">
        <v>129</v>
      </c>
      <c r="D18" s="31">
        <v>12.8</v>
      </c>
      <c r="E18" s="31">
        <v>22.4</v>
      </c>
      <c r="F18" s="9" t="s">
        <v>130</v>
      </c>
      <c r="G18" t="s">
        <v>117</v>
      </c>
      <c r="H18" t="s">
        <v>131</v>
      </c>
      <c r="I18" t="s">
        <v>132</v>
      </c>
    </row>
    <row r="20" spans="2:6" x14ac:dyDescent="0.25">
      <c r="B20" s="26">
        <v>4</v>
      </c>
      <c r="C20" s="27" t="s">
        <v>133</v>
      </c>
      <c r="D20" s="28">
        <f>SUM(D21:D24)</f>
        <v>24.63</v>
      </c>
      <c r="E20" s="28">
        <f>SUM(E21:E24)</f>
        <v>42.22</v>
      </c>
      <c r="F20" s="29" t="s">
        <v>39</v>
      </c>
    </row>
    <row r="21" spans="2:9" x14ac:dyDescent="0.25">
      <c r="B21" s="11" t="s">
        <v>39</v>
      </c>
      <c r="C21" s="30" t="s">
        <v>134</v>
      </c>
      <c r="D21" s="31">
        <v>13.1</v>
      </c>
      <c r="E21" s="31">
        <v>20.97</v>
      </c>
      <c r="F21" s="9" t="s">
        <v>135</v>
      </c>
      <c r="G21" t="s">
        <v>112</v>
      </c>
      <c r="H21" t="s">
        <v>136</v>
      </c>
      <c r="I21" t="s">
        <v>137</v>
      </c>
    </row>
    <row r="22" spans="2:9" x14ac:dyDescent="0.25">
      <c r="B22" s="11" t="s">
        <v>39</v>
      </c>
      <c r="C22" s="30" t="s">
        <v>138</v>
      </c>
      <c r="D22" s="31">
        <v>2.7</v>
      </c>
      <c r="E22" s="31">
        <v>5.4</v>
      </c>
      <c r="F22" s="9" t="s">
        <v>139</v>
      </c>
      <c r="G22" t="s">
        <v>117</v>
      </c>
      <c r="H22" t="s">
        <v>140</v>
      </c>
      <c r="I22" t="s">
        <v>141</v>
      </c>
    </row>
    <row r="23" spans="2:9" x14ac:dyDescent="0.25">
      <c r="B23" s="11" t="s">
        <v>39</v>
      </c>
      <c r="C23" s="30" t="s">
        <v>142</v>
      </c>
      <c r="D23" s="31">
        <v>1.62</v>
      </c>
      <c r="E23" s="31">
        <v>3.24</v>
      </c>
      <c r="F23" s="9" t="s">
        <v>143</v>
      </c>
      <c r="G23" t="s">
        <v>117</v>
      </c>
      <c r="H23" t="s">
        <v>144</v>
      </c>
      <c r="I23" t="s">
        <v>145</v>
      </c>
    </row>
    <row r="24" spans="2:9" x14ac:dyDescent="0.25">
      <c r="B24" s="11" t="s">
        <v>39</v>
      </c>
      <c r="C24" s="30" t="s">
        <v>146</v>
      </c>
      <c r="D24" s="31">
        <v>7.21</v>
      </c>
      <c r="E24" s="31">
        <v>12.61</v>
      </c>
      <c r="F24" s="9" t="s">
        <v>147</v>
      </c>
      <c r="G24" t="s">
        <v>117</v>
      </c>
      <c r="H24" t="s">
        <v>148</v>
      </c>
      <c r="I24" t="s">
        <v>149</v>
      </c>
    </row>
    <row r="26" spans="2:6" x14ac:dyDescent="0.25">
      <c r="B26" s="32" t="s">
        <v>39</v>
      </c>
      <c r="C26" s="32" t="s">
        <v>150</v>
      </c>
      <c r="D26" s="33">
        <f>D9+D12+D16+D20</f>
        <v>62.58</v>
      </c>
      <c r="E26" s="33">
        <f>E9+E12+E16+E20</f>
        <v>110.56</v>
      </c>
      <c r="F26" s="34" t="s">
        <v>39</v>
      </c>
    </row>
    <row r="29" spans="2:9" x14ac:dyDescent="0.25">
      <c r="B29" s="23" t="s">
        <v>104</v>
      </c>
      <c r="C29" s="24" t="s">
        <v>151</v>
      </c>
      <c r="D29" s="25" t="s">
        <v>13</v>
      </c>
      <c r="E29" s="25" t="s">
        <v>14</v>
      </c>
      <c r="F29" s="23" t="s">
        <v>15</v>
      </c>
      <c r="G29" s="23" t="s">
        <v>106</v>
      </c>
      <c r="H29" s="23" t="s">
        <v>107</v>
      </c>
      <c r="I29" s="23" t="s">
        <v>108</v>
      </c>
    </row>
    <row r="30" spans="2:6" x14ac:dyDescent="0.25">
      <c r="B30" s="11">
        <v>1</v>
      </c>
      <c r="C30" s="30" t="s">
        <v>152</v>
      </c>
      <c r="D30" s="31">
        <v>0</v>
      </c>
      <c r="E30" s="31">
        <v>0</v>
      </c>
      <c r="F30" s="9" t="s">
        <v>39</v>
      </c>
    </row>
    <row r="31" spans="2:6" x14ac:dyDescent="0.25">
      <c r="B31" s="32" t="s">
        <v>39</v>
      </c>
      <c r="C31" s="32" t="s">
        <v>153</v>
      </c>
      <c r="D31" s="33">
        <f>SUM(D30:D30)</f>
        <v>0</v>
      </c>
      <c r="E31" s="33">
        <f>SUM(E30:E30)</f>
        <v>0</v>
      </c>
      <c r="F31" s="34" t="s">
        <v>39</v>
      </c>
    </row>
    <row r="34" spans="2:9" x14ac:dyDescent="0.25">
      <c r="B34" s="23" t="s">
        <v>104</v>
      </c>
      <c r="C34" s="24" t="s">
        <v>154</v>
      </c>
      <c r="D34" s="25" t="s">
        <v>13</v>
      </c>
      <c r="E34" s="25" t="s">
        <v>14</v>
      </c>
      <c r="F34" s="23" t="s">
        <v>15</v>
      </c>
      <c r="G34" s="23" t="s">
        <v>106</v>
      </c>
      <c r="H34" s="23" t="s">
        <v>107</v>
      </c>
      <c r="I34" s="23" t="s">
        <v>108</v>
      </c>
    </row>
    <row r="35" spans="2:6" x14ac:dyDescent="0.25">
      <c r="B35" s="11">
        <v>1</v>
      </c>
      <c r="C35" s="30" t="s">
        <v>152</v>
      </c>
      <c r="D35" s="31">
        <v>0</v>
      </c>
      <c r="E35" s="31">
        <v>0</v>
      </c>
      <c r="F35" s="9" t="s">
        <v>155</v>
      </c>
    </row>
    <row r="36" spans="2:6" x14ac:dyDescent="0.25">
      <c r="B36" s="32" t="s">
        <v>39</v>
      </c>
      <c r="C36" s="32" t="s">
        <v>156</v>
      </c>
      <c r="D36" s="33">
        <f>SUM(D35:D35)</f>
        <v>0</v>
      </c>
      <c r="E36" s="33">
        <f>SUM(E35:E35)</f>
        <v>0</v>
      </c>
      <c r="F36" s="34" t="s">
        <v>39</v>
      </c>
    </row>
    <row r="39" spans="2:6" x14ac:dyDescent="0.25">
      <c r="B39" s="23" t="s">
        <v>104</v>
      </c>
      <c r="C39" s="24" t="s">
        <v>157</v>
      </c>
      <c r="D39" s="24"/>
      <c r="E39" s="24"/>
      <c r="F39" s="24"/>
    </row>
    <row r="40" spans="2:6" x14ac:dyDescent="0.25">
      <c r="B40" s="11">
        <v>1</v>
      </c>
      <c r="C40" s="30" t="s">
        <v>72</v>
      </c>
      <c r="D40" s="30"/>
      <c r="E40" s="30"/>
      <c r="F40" s="30"/>
    </row>
    <row r="41" spans="2:6" x14ac:dyDescent="0.25">
      <c r="B41" s="11">
        <v>2</v>
      </c>
      <c r="C41" s="30" t="s">
        <v>73</v>
      </c>
      <c r="D41" s="30"/>
      <c r="E41" s="30"/>
      <c r="F41" s="30"/>
    </row>
    <row r="42" spans="2:6" x14ac:dyDescent="0.25">
      <c r="B42" s="11">
        <v>3</v>
      </c>
      <c r="C42" s="30" t="s">
        <v>74</v>
      </c>
      <c r="D42" s="30"/>
      <c r="E42" s="30"/>
      <c r="F42" s="30"/>
    </row>
    <row r="43" spans="2:6" x14ac:dyDescent="0.25">
      <c r="B43" s="11">
        <v>4</v>
      </c>
      <c r="C43" s="30" t="s">
        <v>75</v>
      </c>
      <c r="D43" s="30"/>
      <c r="E43" s="30"/>
      <c r="F43" s="30"/>
    </row>
    <row r="44" spans="2:6" x14ac:dyDescent="0.25">
      <c r="B44" s="11">
        <v>5</v>
      </c>
      <c r="C44" s="30" t="s">
        <v>76</v>
      </c>
      <c r="D44" s="30"/>
      <c r="E44" s="30"/>
      <c r="F44" s="30"/>
    </row>
    <row r="45" spans="2:6" x14ac:dyDescent="0.25">
      <c r="B45" s="11">
        <v>6</v>
      </c>
      <c r="C45" s="30" t="s">
        <v>77</v>
      </c>
      <c r="D45" s="30"/>
      <c r="E45" s="30"/>
      <c r="F45" s="30"/>
    </row>
    <row r="46" spans="2:6" x14ac:dyDescent="0.25">
      <c r="B46" s="11">
        <v>7</v>
      </c>
      <c r="C46" s="30" t="s">
        <v>78</v>
      </c>
      <c r="D46" s="30"/>
      <c r="E46" s="30"/>
      <c r="F46" s="30"/>
    </row>
    <row r="47" spans="2:6" x14ac:dyDescent="0.25">
      <c r="B47" s="11">
        <v>8</v>
      </c>
      <c r="C47" s="30" t="s">
        <v>79</v>
      </c>
      <c r="D47" s="30"/>
      <c r="E47" s="30"/>
      <c r="F47" s="30"/>
    </row>
    <row r="48" spans="2:6" x14ac:dyDescent="0.25">
      <c r="B48" s="11">
        <v>9</v>
      </c>
      <c r="C48" s="30" t="s">
        <v>80</v>
      </c>
      <c r="D48" s="30"/>
      <c r="E48" s="30"/>
      <c r="F48" s="30"/>
    </row>
    <row r="49" spans="2:6" x14ac:dyDescent="0.25">
      <c r="B49" s="11">
        <v>10</v>
      </c>
      <c r="C49" s="30" t="s">
        <v>81</v>
      </c>
      <c r="D49" s="30"/>
      <c r="E49" s="30"/>
      <c r="F49" s="30"/>
    </row>
    <row r="50" spans="2:6" x14ac:dyDescent="0.25">
      <c r="B50" s="11">
        <v>11</v>
      </c>
      <c r="C50" s="30" t="s">
        <v>82</v>
      </c>
      <c r="D50" s="30"/>
      <c r="E50" s="30"/>
      <c r="F50" s="30"/>
    </row>
    <row r="51" spans="2:6" x14ac:dyDescent="0.25">
      <c r="B51" s="11">
        <v>12</v>
      </c>
      <c r="C51" s="30" t="s">
        <v>83</v>
      </c>
      <c r="D51" s="30"/>
      <c r="E51" s="30"/>
      <c r="F51" s="30"/>
    </row>
    <row r="52" spans="2:6" x14ac:dyDescent="0.25">
      <c r="B52" s="11">
        <v>13</v>
      </c>
      <c r="C52" s="30" t="s">
        <v>84</v>
      </c>
      <c r="D52" s="30"/>
      <c r="E52" s="30"/>
      <c r="F52" s="30"/>
    </row>
    <row r="53" spans="2:6" x14ac:dyDescent="0.25">
      <c r="B53" s="11">
        <v>14</v>
      </c>
      <c r="C53" s="30" t="s">
        <v>85</v>
      </c>
      <c r="D53" s="30"/>
      <c r="E53" s="30"/>
      <c r="F53" s="30"/>
    </row>
    <row r="54" spans="2:6" x14ac:dyDescent="0.25">
      <c r="B54" s="11">
        <v>15</v>
      </c>
      <c r="C54" s="30" t="s">
        <v>86</v>
      </c>
      <c r="D54" s="30"/>
      <c r="E54" s="30"/>
      <c r="F54" s="30"/>
    </row>
    <row r="55" spans="2:6" x14ac:dyDescent="0.25">
      <c r="B55" s="11">
        <v>16</v>
      </c>
      <c r="C55" s="30" t="s">
        <v>87</v>
      </c>
      <c r="D55" s="30"/>
      <c r="E55" s="30"/>
      <c r="F55" s="30"/>
    </row>
    <row r="56" spans="2:6" x14ac:dyDescent="0.25">
      <c r="B56" s="11">
        <v>17</v>
      </c>
      <c r="C56" s="30" t="s">
        <v>88</v>
      </c>
      <c r="D56" s="30"/>
      <c r="E56" s="30"/>
      <c r="F56" s="30"/>
    </row>
    <row r="57" spans="2:6" x14ac:dyDescent="0.25">
      <c r="B57" s="11">
        <v>18</v>
      </c>
      <c r="C57" s="30" t="s">
        <v>89</v>
      </c>
      <c r="D57" s="30"/>
      <c r="E57" s="30"/>
      <c r="F57" s="30"/>
    </row>
    <row r="58" spans="2:6" x14ac:dyDescent="0.25">
      <c r="B58" s="11">
        <v>19</v>
      </c>
      <c r="C58" s="30" t="s">
        <v>90</v>
      </c>
      <c r="D58" s="30"/>
      <c r="E58" s="30"/>
      <c r="F58" s="30"/>
    </row>
    <row r="59" spans="2:6" x14ac:dyDescent="0.25">
      <c r="B59" s="11">
        <v>20</v>
      </c>
      <c r="C59" s="30" t="s">
        <v>91</v>
      </c>
      <c r="D59" s="30"/>
      <c r="E59" s="30"/>
      <c r="F59" s="30"/>
    </row>
    <row r="60" spans="2:6" x14ac:dyDescent="0.25">
      <c r="B60" s="11">
        <v>21</v>
      </c>
      <c r="C60" s="30" t="s">
        <v>92</v>
      </c>
      <c r="D60" s="30"/>
      <c r="E60" s="30"/>
      <c r="F60" s="30"/>
    </row>
    <row r="61" spans="2:6" x14ac:dyDescent="0.25">
      <c r="B61" s="11">
        <v>22</v>
      </c>
      <c r="C61" s="30" t="s">
        <v>93</v>
      </c>
      <c r="D61" s="30"/>
      <c r="E61" s="30"/>
      <c r="F61" s="30"/>
    </row>
    <row r="62" spans="2:6" x14ac:dyDescent="0.25">
      <c r="B62" s="11">
        <v>23</v>
      </c>
      <c r="C62" s="30" t="s">
        <v>94</v>
      </c>
      <c r="D62" s="30"/>
      <c r="E62" s="30"/>
      <c r="F62" s="30"/>
    </row>
    <row r="63" spans="2:6" x14ac:dyDescent="0.25">
      <c r="B63" s="11">
        <v>24</v>
      </c>
      <c r="C63" s="30" t="s">
        <v>95</v>
      </c>
      <c r="D63" s="30"/>
      <c r="E63" s="30"/>
      <c r="F63" s="30"/>
    </row>
    <row r="64" spans="2:6" x14ac:dyDescent="0.25">
      <c r="B64" s="11">
        <v>25</v>
      </c>
      <c r="C64" s="30" t="s">
        <v>96</v>
      </c>
      <c r="D64" s="30"/>
      <c r="E64" s="30"/>
      <c r="F64" s="30"/>
    </row>
    <row r="65" spans="2:6" x14ac:dyDescent="0.25">
      <c r="B65" s="11">
        <v>26</v>
      </c>
      <c r="C65" s="30" t="s">
        <v>97</v>
      </c>
      <c r="D65" s="30"/>
      <c r="E65" s="30"/>
      <c r="F65" s="30"/>
    </row>
    <row r="66" spans="2:6" x14ac:dyDescent="0.25">
      <c r="B66" s="11">
        <v>27</v>
      </c>
      <c r="C66" s="30" t="s">
        <v>98</v>
      </c>
      <c r="D66" s="30"/>
      <c r="E66" s="30"/>
      <c r="F66" s="30"/>
    </row>
    <row r="67" spans="2:6" x14ac:dyDescent="0.25">
      <c r="B67" s="11">
        <v>28</v>
      </c>
      <c r="C67" s="30" t="s">
        <v>99</v>
      </c>
      <c r="D67" s="30"/>
      <c r="E67" s="30"/>
      <c r="F67" s="30"/>
    </row>
    <row r="70" spans="2:6" x14ac:dyDescent="0.25">
      <c r="B70" s="23" t="s">
        <v>104</v>
      </c>
      <c r="C70" s="24" t="s">
        <v>158</v>
      </c>
      <c r="D70" s="24"/>
      <c r="E70" s="24"/>
      <c r="F70" s="24"/>
    </row>
    <row r="71" spans="2:6" x14ac:dyDescent="0.25">
      <c r="B71" s="11">
        <v>1</v>
      </c>
      <c r="C71" s="30" t="s">
        <v>159</v>
      </c>
      <c r="D71" s="30"/>
      <c r="E71" s="30"/>
      <c r="F71" s="30"/>
    </row>
  </sheetData>
  <mergeCells count="34">
    <mergeCell ref="B2:F2"/>
    <mergeCell ref="B3:F3"/>
    <mergeCell ref="B4:F4"/>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 ref="C70:F70"/>
    <mergeCell ref="C71:F7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21"/>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9" max="9" width="13" customWidth="1"/>
    <col min="10" max="11" width="12" customWidth="1"/>
    <col min="12" max="26" width="7.75" customWidth="1"/>
  </cols>
  <sheetData>
    <row r="2" spans="2:6" x14ac:dyDescent="0.25">
      <c r="B2" s="17" t="s">
        <v>100</v>
      </c>
      <c r="C2" s="17"/>
      <c r="D2" s="17"/>
      <c r="E2" s="17"/>
      <c r="F2" s="17"/>
    </row>
    <row r="3" spans="2:6" x14ac:dyDescent="0.25">
      <c r="B3" s="18" t="s">
        <v>8</v>
      </c>
      <c r="C3" s="18"/>
      <c r="D3" s="18"/>
      <c r="E3" s="18"/>
      <c r="F3" s="18"/>
    </row>
    <row r="4" spans="2:6" x14ac:dyDescent="0.25">
      <c r="B4" s="19" t="s">
        <v>101</v>
      </c>
      <c r="C4" s="19"/>
      <c r="D4" s="19"/>
      <c r="E4" s="19"/>
      <c r="F4" s="19"/>
    </row>
    <row r="5" spans="2:2" x14ac:dyDescent="0.25">
      <c r="B5" s="35" t="s">
        <v>160</v>
      </c>
    </row>
    <row r="6" spans="3:6" x14ac:dyDescent="0.25">
      <c r="C6" s="20" t="s">
        <v>102</v>
      </c>
      <c r="D6" s="21">
        <f>D11+D16+D21</f>
        <v>0</v>
      </c>
      <c r="E6" s="21">
        <f>E11+E16+E21</f>
        <v>0</v>
      </c>
      <c r="F6" s="22" t="s">
        <v>103</v>
      </c>
    </row>
    <row r="8" spans="2:9" x14ac:dyDescent="0.25">
      <c r="B8" s="23" t="s">
        <v>104</v>
      </c>
      <c r="C8" s="24" t="s">
        <v>105</v>
      </c>
      <c r="D8" s="25" t="s">
        <v>13</v>
      </c>
      <c r="E8" s="25" t="s">
        <v>14</v>
      </c>
      <c r="F8" s="23" t="s">
        <v>15</v>
      </c>
      <c r="G8" s="23" t="s">
        <v>106</v>
      </c>
      <c r="H8" s="23" t="s">
        <v>107</v>
      </c>
      <c r="I8" s="23" t="s">
        <v>108</v>
      </c>
    </row>
    <row r="9" spans="3:5" x14ac:dyDescent="0.25">
      <c r="C9" s="30" t="s">
        <v>152</v>
      </c>
      <c r="D9" s="31">
        <v>0</v>
      </c>
      <c r="E9" s="31">
        <v>0</v>
      </c>
    </row>
    <row r="11" spans="2:6" x14ac:dyDescent="0.25">
      <c r="B11" s="32" t="s">
        <v>39</v>
      </c>
      <c r="C11" s="32" t="s">
        <v>150</v>
      </c>
      <c r="D11" s="33">
        <f>D9</f>
        <v>0</v>
      </c>
      <c r="E11" s="33">
        <f>E9</f>
        <v>0</v>
      </c>
      <c r="F11" s="34" t="s">
        <v>39</v>
      </c>
    </row>
    <row r="14" spans="2:9" x14ac:dyDescent="0.25">
      <c r="B14" s="23" t="s">
        <v>104</v>
      </c>
      <c r="C14" s="24" t="s">
        <v>151</v>
      </c>
      <c r="D14" s="25" t="s">
        <v>13</v>
      </c>
      <c r="E14" s="25" t="s">
        <v>14</v>
      </c>
      <c r="F14" s="23" t="s">
        <v>15</v>
      </c>
      <c r="G14" s="23" t="s">
        <v>106</v>
      </c>
      <c r="H14" s="23" t="s">
        <v>107</v>
      </c>
      <c r="I14" s="23" t="s">
        <v>108</v>
      </c>
    </row>
    <row r="15" spans="2:6" x14ac:dyDescent="0.25">
      <c r="B15" s="11">
        <v>1</v>
      </c>
      <c r="C15" s="30" t="s">
        <v>152</v>
      </c>
      <c r="D15" s="31">
        <v>0</v>
      </c>
      <c r="E15" s="31">
        <v>0</v>
      </c>
      <c r="F15" s="9" t="s">
        <v>39</v>
      </c>
    </row>
    <row r="16" spans="2:6" x14ac:dyDescent="0.25">
      <c r="B16" s="32" t="s">
        <v>39</v>
      </c>
      <c r="C16" s="32" t="s">
        <v>153</v>
      </c>
      <c r="D16" s="33">
        <f>SUM(D15:D15)</f>
        <v>0</v>
      </c>
      <c r="E16" s="33">
        <f>SUM(E15:E15)</f>
        <v>0</v>
      </c>
      <c r="F16" s="34" t="s">
        <v>39</v>
      </c>
    </row>
    <row r="19" spans="2:9" x14ac:dyDescent="0.25">
      <c r="B19" s="23" t="s">
        <v>104</v>
      </c>
      <c r="C19" s="24" t="s">
        <v>154</v>
      </c>
      <c r="D19" s="25" t="s">
        <v>13</v>
      </c>
      <c r="E19" s="25" t="s">
        <v>14</v>
      </c>
      <c r="F19" s="23" t="s">
        <v>15</v>
      </c>
      <c r="G19" s="23" t="s">
        <v>106</v>
      </c>
      <c r="H19" s="23" t="s">
        <v>107</v>
      </c>
      <c r="I19" s="23" t="s">
        <v>108</v>
      </c>
    </row>
    <row r="20" spans="2:6" x14ac:dyDescent="0.25">
      <c r="B20" s="11">
        <v>1</v>
      </c>
      <c r="C20" s="30" t="s">
        <v>152</v>
      </c>
      <c r="D20" s="31">
        <v>0</v>
      </c>
      <c r="E20" s="31">
        <v>0</v>
      </c>
      <c r="F20" s="9" t="s">
        <v>155</v>
      </c>
    </row>
    <row r="21" spans="2:6" x14ac:dyDescent="0.25">
      <c r="B21" s="32" t="s">
        <v>39</v>
      </c>
      <c r="C21" s="32" t="s">
        <v>156</v>
      </c>
      <c r="D21" s="33">
        <f>SUM(D20:D20)</f>
        <v>0</v>
      </c>
      <c r="E21" s="33">
        <f>SUM(E20:E20)</f>
        <v>0</v>
      </c>
      <c r="F21" s="34" t="s">
        <v>39</v>
      </c>
    </row>
  </sheetData>
  <mergeCells count="3">
    <mergeCell ref="B2:F2"/>
    <mergeCell ref="B3:F3"/>
    <mergeCell ref="B4:F4"/>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70"/>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9" max="9" width="13" customWidth="1"/>
    <col min="10" max="11" width="12" customWidth="1"/>
    <col min="12" max="26" width="7.75" customWidth="1"/>
  </cols>
  <sheetData>
    <row r="2" spans="2:6" x14ac:dyDescent="0.25">
      <c r="B2" s="17" t="s">
        <v>100</v>
      </c>
      <c r="C2" s="17"/>
      <c r="D2" s="17"/>
      <c r="E2" s="17"/>
      <c r="F2" s="17"/>
    </row>
    <row r="3" spans="2:6" x14ac:dyDescent="0.25">
      <c r="B3" s="18" t="s">
        <v>8</v>
      </c>
      <c r="C3" s="18"/>
      <c r="D3" s="18"/>
      <c r="E3" s="18"/>
      <c r="F3" s="18"/>
    </row>
    <row r="4" spans="2:6" x14ac:dyDescent="0.25">
      <c r="B4" s="19" t="s">
        <v>101</v>
      </c>
      <c r="C4" s="19"/>
      <c r="D4" s="19"/>
      <c r="E4" s="19"/>
      <c r="F4" s="19"/>
    </row>
    <row r="6" spans="3:6" x14ac:dyDescent="0.25">
      <c r="C6" s="20" t="s">
        <v>102</v>
      </c>
      <c r="D6" s="21">
        <f>D25+D30+D35</f>
        <v>64.41</v>
      </c>
      <c r="E6" s="21">
        <f>E25+E30+E35</f>
        <v>107.6</v>
      </c>
      <c r="F6" s="22" t="s">
        <v>103</v>
      </c>
    </row>
    <row r="8" spans="2:9" x14ac:dyDescent="0.25">
      <c r="B8" s="23" t="s">
        <v>104</v>
      </c>
      <c r="C8" s="24" t="s">
        <v>105</v>
      </c>
      <c r="D8" s="25" t="s">
        <v>13</v>
      </c>
      <c r="E8" s="25" t="s">
        <v>14</v>
      </c>
      <c r="F8" s="23" t="s">
        <v>15</v>
      </c>
      <c r="G8" s="23" t="s">
        <v>106</v>
      </c>
      <c r="H8" s="23" t="s">
        <v>107</v>
      </c>
      <c r="I8" s="23" t="s">
        <v>108</v>
      </c>
    </row>
    <row r="9" spans="2:6" x14ac:dyDescent="0.25">
      <c r="B9" s="26">
        <v>1</v>
      </c>
      <c r="C9" s="27" t="s">
        <v>109</v>
      </c>
      <c r="D9" s="28">
        <f>SUM(D10:D11)</f>
        <v>11.35</v>
      </c>
      <c r="E9" s="28">
        <f>SUM(E10:E11)</f>
        <v>21.5</v>
      </c>
      <c r="F9" s="29" t="s">
        <v>39</v>
      </c>
    </row>
    <row r="10" spans="2:9" x14ac:dyDescent="0.25">
      <c r="B10" s="11" t="s">
        <v>39</v>
      </c>
      <c r="C10" s="30" t="s">
        <v>161</v>
      </c>
      <c r="D10" s="31">
        <v>4.8</v>
      </c>
      <c r="E10" s="31">
        <v>8.4</v>
      </c>
      <c r="F10" s="9" t="s">
        <v>162</v>
      </c>
      <c r="G10" t="s">
        <v>117</v>
      </c>
      <c r="H10" t="s">
        <v>163</v>
      </c>
      <c r="I10" t="s">
        <v>164</v>
      </c>
    </row>
    <row r="11" spans="2:9" x14ac:dyDescent="0.25">
      <c r="B11" s="11" t="s">
        <v>39</v>
      </c>
      <c r="C11" s="30" t="s">
        <v>165</v>
      </c>
      <c r="D11" s="31">
        <v>6.55</v>
      </c>
      <c r="E11" s="31">
        <v>13.1</v>
      </c>
      <c r="F11" s="9" t="s">
        <v>166</v>
      </c>
      <c r="G11" t="s">
        <v>112</v>
      </c>
      <c r="H11" t="s">
        <v>39</v>
      </c>
      <c r="I11" t="s">
        <v>167</v>
      </c>
    </row>
    <row r="13" spans="2:6" x14ac:dyDescent="0.25">
      <c r="B13" s="26">
        <v>2</v>
      </c>
      <c r="C13" s="27" t="s">
        <v>114</v>
      </c>
      <c r="D13" s="28">
        <f>SUM(D14:D14)</f>
        <v>6</v>
      </c>
      <c r="E13" s="28">
        <f>SUM(E14:E14)</f>
        <v>10</v>
      </c>
      <c r="F13" s="29" t="s">
        <v>39</v>
      </c>
    </row>
    <row r="14" spans="2:9" x14ac:dyDescent="0.25">
      <c r="B14" s="11" t="s">
        <v>39</v>
      </c>
      <c r="C14" s="30" t="s">
        <v>168</v>
      </c>
      <c r="D14" s="31">
        <v>6</v>
      </c>
      <c r="E14" s="31">
        <v>10</v>
      </c>
      <c r="F14" s="9" t="s">
        <v>169</v>
      </c>
      <c r="G14" t="s">
        <v>117</v>
      </c>
      <c r="H14" t="s">
        <v>170</v>
      </c>
      <c r="I14" t="s">
        <v>171</v>
      </c>
    </row>
    <row r="16" spans="2:6" x14ac:dyDescent="0.25">
      <c r="B16" s="26">
        <v>3</v>
      </c>
      <c r="C16" s="27" t="s">
        <v>172</v>
      </c>
      <c r="D16" s="28">
        <f>SUM(D17:D19)</f>
        <v>31.66</v>
      </c>
      <c r="E16" s="28">
        <f>SUM(E17:E19)</f>
        <v>50.9</v>
      </c>
      <c r="F16" s="29" t="s">
        <v>39</v>
      </c>
    </row>
    <row r="17" spans="2:9" x14ac:dyDescent="0.25">
      <c r="B17" s="11" t="s">
        <v>39</v>
      </c>
      <c r="C17" s="30" t="s">
        <v>173</v>
      </c>
      <c r="D17" s="31">
        <v>7.02</v>
      </c>
      <c r="E17" s="31">
        <v>11.7</v>
      </c>
      <c r="F17" s="9" t="s">
        <v>174</v>
      </c>
      <c r="G17" t="s">
        <v>117</v>
      </c>
      <c r="H17" t="s">
        <v>175</v>
      </c>
      <c r="I17" t="s">
        <v>176</v>
      </c>
    </row>
    <row r="18" spans="2:9" x14ac:dyDescent="0.25">
      <c r="B18" s="11" t="s">
        <v>39</v>
      </c>
      <c r="C18" s="30" t="s">
        <v>177</v>
      </c>
      <c r="D18" s="31">
        <v>19.6</v>
      </c>
      <c r="E18" s="31">
        <v>30.8</v>
      </c>
      <c r="F18" s="9" t="s">
        <v>178</v>
      </c>
      <c r="G18" t="s">
        <v>117</v>
      </c>
      <c r="H18" t="s">
        <v>179</v>
      </c>
      <c r="I18" t="s">
        <v>180</v>
      </c>
    </row>
    <row r="19" spans="2:9" x14ac:dyDescent="0.25">
      <c r="B19" s="11" t="s">
        <v>39</v>
      </c>
      <c r="C19" s="30" t="s">
        <v>181</v>
      </c>
      <c r="D19" s="31">
        <v>5.04</v>
      </c>
      <c r="E19" s="31">
        <v>8.4</v>
      </c>
      <c r="F19" s="9" t="s">
        <v>182</v>
      </c>
      <c r="G19" t="s">
        <v>117</v>
      </c>
      <c r="H19" t="s">
        <v>183</v>
      </c>
      <c r="I19" t="s">
        <v>184</v>
      </c>
    </row>
    <row r="21" spans="2:6" x14ac:dyDescent="0.25">
      <c r="B21" s="26">
        <v>4</v>
      </c>
      <c r="C21" s="27" t="s">
        <v>133</v>
      </c>
      <c r="D21" s="28">
        <f>SUM(D22:D23)</f>
        <v>15.4</v>
      </c>
      <c r="E21" s="28">
        <f>SUM(E22:E23)</f>
        <v>25.2</v>
      </c>
      <c r="F21" s="29" t="s">
        <v>39</v>
      </c>
    </row>
    <row r="22" spans="2:9" x14ac:dyDescent="0.25">
      <c r="B22" s="11" t="s">
        <v>39</v>
      </c>
      <c r="C22" s="30" t="s">
        <v>185</v>
      </c>
      <c r="D22" s="31">
        <v>8.4</v>
      </c>
      <c r="E22" s="31">
        <v>14</v>
      </c>
      <c r="F22" s="9" t="s">
        <v>186</v>
      </c>
      <c r="G22" t="s">
        <v>117</v>
      </c>
      <c r="H22" t="s">
        <v>187</v>
      </c>
      <c r="I22" t="s">
        <v>188</v>
      </c>
    </row>
    <row r="23" spans="2:9" x14ac:dyDescent="0.25">
      <c r="B23" s="11" t="s">
        <v>39</v>
      </c>
      <c r="C23" s="30" t="s">
        <v>189</v>
      </c>
      <c r="D23" s="31">
        <v>7</v>
      </c>
      <c r="E23" s="31">
        <v>11.2</v>
      </c>
      <c r="F23" s="9" t="s">
        <v>190</v>
      </c>
      <c r="G23" t="s">
        <v>117</v>
      </c>
      <c r="H23" t="s">
        <v>191</v>
      </c>
      <c r="I23" t="s">
        <v>192</v>
      </c>
    </row>
    <row r="25" spans="2:6" x14ac:dyDescent="0.25">
      <c r="B25" s="32" t="s">
        <v>39</v>
      </c>
      <c r="C25" s="32" t="s">
        <v>150</v>
      </c>
      <c r="D25" s="33">
        <f>D9+D13+D16+D21</f>
        <v>64.41</v>
      </c>
      <c r="E25" s="33">
        <f>E9+E13+E16+E21</f>
        <v>107.6</v>
      </c>
      <c r="F25" s="34" t="s">
        <v>39</v>
      </c>
    </row>
    <row r="28" spans="2:9" x14ac:dyDescent="0.25">
      <c r="B28" s="23" t="s">
        <v>104</v>
      </c>
      <c r="C28" s="24" t="s">
        <v>151</v>
      </c>
      <c r="D28" s="25" t="s">
        <v>13</v>
      </c>
      <c r="E28" s="25" t="s">
        <v>14</v>
      </c>
      <c r="F28" s="23" t="s">
        <v>15</v>
      </c>
      <c r="G28" s="23" t="s">
        <v>106</v>
      </c>
      <c r="H28" s="23" t="s">
        <v>107</v>
      </c>
      <c r="I28" s="23" t="s">
        <v>108</v>
      </c>
    </row>
    <row r="29" spans="2:6" x14ac:dyDescent="0.25">
      <c r="B29" s="11">
        <v>1</v>
      </c>
      <c r="C29" s="30" t="s">
        <v>152</v>
      </c>
      <c r="D29" s="31">
        <v>0</v>
      </c>
      <c r="E29" s="31">
        <v>0</v>
      </c>
      <c r="F29" s="9" t="s">
        <v>39</v>
      </c>
    </row>
    <row r="30" spans="2:6" x14ac:dyDescent="0.25">
      <c r="B30" s="32" t="s">
        <v>39</v>
      </c>
      <c r="C30" s="32" t="s">
        <v>153</v>
      </c>
      <c r="D30" s="33">
        <f>SUM(D29:D29)</f>
        <v>0</v>
      </c>
      <c r="E30" s="33">
        <f>SUM(E29:E29)</f>
        <v>0</v>
      </c>
      <c r="F30" s="34" t="s">
        <v>39</v>
      </c>
    </row>
    <row r="33" spans="2:9" x14ac:dyDescent="0.25">
      <c r="B33" s="23" t="s">
        <v>104</v>
      </c>
      <c r="C33" s="24" t="s">
        <v>154</v>
      </c>
      <c r="D33" s="25" t="s">
        <v>13</v>
      </c>
      <c r="E33" s="25" t="s">
        <v>14</v>
      </c>
      <c r="F33" s="23" t="s">
        <v>15</v>
      </c>
      <c r="G33" s="23" t="s">
        <v>106</v>
      </c>
      <c r="H33" s="23" t="s">
        <v>107</v>
      </c>
      <c r="I33" s="23" t="s">
        <v>108</v>
      </c>
    </row>
    <row r="34" spans="2:6" x14ac:dyDescent="0.25">
      <c r="B34" s="11">
        <v>1</v>
      </c>
      <c r="C34" s="30" t="s">
        <v>152</v>
      </c>
      <c r="D34" s="31">
        <v>0</v>
      </c>
      <c r="E34" s="31">
        <v>0</v>
      </c>
      <c r="F34" s="9" t="s">
        <v>155</v>
      </c>
    </row>
    <row r="35" spans="2:6" x14ac:dyDescent="0.25">
      <c r="B35" s="32" t="s">
        <v>39</v>
      </c>
      <c r="C35" s="32" t="s">
        <v>156</v>
      </c>
      <c r="D35" s="33">
        <f>SUM(D34:D34)</f>
        <v>0</v>
      </c>
      <c r="E35" s="33">
        <f>SUM(E34:E34)</f>
        <v>0</v>
      </c>
      <c r="F35" s="34" t="s">
        <v>39</v>
      </c>
    </row>
    <row r="38" spans="2:6" x14ac:dyDescent="0.25">
      <c r="B38" s="23" t="s">
        <v>104</v>
      </c>
      <c r="C38" s="24" t="s">
        <v>157</v>
      </c>
      <c r="D38" s="24"/>
      <c r="E38" s="24"/>
      <c r="F38" s="24"/>
    </row>
    <row r="39" spans="2:6" x14ac:dyDescent="0.25">
      <c r="B39" s="11">
        <v>1</v>
      </c>
      <c r="C39" s="30" t="s">
        <v>72</v>
      </c>
      <c r="D39" s="30"/>
      <c r="E39" s="30"/>
      <c r="F39" s="30"/>
    </row>
    <row r="40" spans="2:6" x14ac:dyDescent="0.25">
      <c r="B40" s="11">
        <v>2</v>
      </c>
      <c r="C40" s="30" t="s">
        <v>73</v>
      </c>
      <c r="D40" s="30"/>
      <c r="E40" s="30"/>
      <c r="F40" s="30"/>
    </row>
    <row r="41" spans="2:6" x14ac:dyDescent="0.25">
      <c r="B41" s="11">
        <v>3</v>
      </c>
      <c r="C41" s="30" t="s">
        <v>74</v>
      </c>
      <c r="D41" s="30"/>
      <c r="E41" s="30"/>
      <c r="F41" s="30"/>
    </row>
    <row r="42" spans="2:6" x14ac:dyDescent="0.25">
      <c r="B42" s="11">
        <v>4</v>
      </c>
      <c r="C42" s="30" t="s">
        <v>75</v>
      </c>
      <c r="D42" s="30"/>
      <c r="E42" s="30"/>
      <c r="F42" s="30"/>
    </row>
    <row r="43" spans="2:6" x14ac:dyDescent="0.25">
      <c r="B43" s="11">
        <v>5</v>
      </c>
      <c r="C43" s="30" t="s">
        <v>76</v>
      </c>
      <c r="D43" s="30"/>
      <c r="E43" s="30"/>
      <c r="F43" s="30"/>
    </row>
    <row r="44" spans="2:6" x14ac:dyDescent="0.25">
      <c r="B44" s="11">
        <v>6</v>
      </c>
      <c r="C44" s="30" t="s">
        <v>77</v>
      </c>
      <c r="D44" s="30"/>
      <c r="E44" s="30"/>
      <c r="F44" s="30"/>
    </row>
    <row r="45" spans="2:6" x14ac:dyDescent="0.25">
      <c r="B45" s="11">
        <v>7</v>
      </c>
      <c r="C45" s="30" t="s">
        <v>78</v>
      </c>
      <c r="D45" s="30"/>
      <c r="E45" s="30"/>
      <c r="F45" s="30"/>
    </row>
    <row r="46" spans="2:6" x14ac:dyDescent="0.25">
      <c r="B46" s="11">
        <v>8</v>
      </c>
      <c r="C46" s="30" t="s">
        <v>79</v>
      </c>
      <c r="D46" s="30"/>
      <c r="E46" s="30"/>
      <c r="F46" s="30"/>
    </row>
    <row r="47" spans="2:6" x14ac:dyDescent="0.25">
      <c r="B47" s="11">
        <v>9</v>
      </c>
      <c r="C47" s="30" t="s">
        <v>80</v>
      </c>
      <c r="D47" s="30"/>
      <c r="E47" s="30"/>
      <c r="F47" s="30"/>
    </row>
    <row r="48" spans="2:6" x14ac:dyDescent="0.25">
      <c r="B48" s="11">
        <v>10</v>
      </c>
      <c r="C48" s="30" t="s">
        <v>81</v>
      </c>
      <c r="D48" s="30"/>
      <c r="E48" s="30"/>
      <c r="F48" s="30"/>
    </row>
    <row r="49" spans="2:6" x14ac:dyDescent="0.25">
      <c r="B49" s="11">
        <v>11</v>
      </c>
      <c r="C49" s="30" t="s">
        <v>82</v>
      </c>
      <c r="D49" s="30"/>
      <c r="E49" s="30"/>
      <c r="F49" s="30"/>
    </row>
    <row r="50" spans="2:6" x14ac:dyDescent="0.25">
      <c r="B50" s="11">
        <v>12</v>
      </c>
      <c r="C50" s="30" t="s">
        <v>83</v>
      </c>
      <c r="D50" s="30"/>
      <c r="E50" s="30"/>
      <c r="F50" s="30"/>
    </row>
    <row r="51" spans="2:6" x14ac:dyDescent="0.25">
      <c r="B51" s="11">
        <v>13</v>
      </c>
      <c r="C51" s="30" t="s">
        <v>84</v>
      </c>
      <c r="D51" s="30"/>
      <c r="E51" s="30"/>
      <c r="F51" s="30"/>
    </row>
    <row r="52" spans="2:6" x14ac:dyDescent="0.25">
      <c r="B52" s="11">
        <v>14</v>
      </c>
      <c r="C52" s="30" t="s">
        <v>85</v>
      </c>
      <c r="D52" s="30"/>
      <c r="E52" s="30"/>
      <c r="F52" s="30"/>
    </row>
    <row r="53" spans="2:6" x14ac:dyDescent="0.25">
      <c r="B53" s="11">
        <v>15</v>
      </c>
      <c r="C53" s="30" t="s">
        <v>86</v>
      </c>
      <c r="D53" s="30"/>
      <c r="E53" s="30"/>
      <c r="F53" s="30"/>
    </row>
    <row r="54" spans="2:6" x14ac:dyDescent="0.25">
      <c r="B54" s="11">
        <v>16</v>
      </c>
      <c r="C54" s="30" t="s">
        <v>87</v>
      </c>
      <c r="D54" s="30"/>
      <c r="E54" s="30"/>
      <c r="F54" s="30"/>
    </row>
    <row r="55" spans="2:6" x14ac:dyDescent="0.25">
      <c r="B55" s="11">
        <v>17</v>
      </c>
      <c r="C55" s="30" t="s">
        <v>88</v>
      </c>
      <c r="D55" s="30"/>
      <c r="E55" s="30"/>
      <c r="F55" s="30"/>
    </row>
    <row r="56" spans="2:6" x14ac:dyDescent="0.25">
      <c r="B56" s="11">
        <v>18</v>
      </c>
      <c r="C56" s="30" t="s">
        <v>89</v>
      </c>
      <c r="D56" s="30"/>
      <c r="E56" s="30"/>
      <c r="F56" s="30"/>
    </row>
    <row r="57" spans="2:6" x14ac:dyDescent="0.25">
      <c r="B57" s="11">
        <v>19</v>
      </c>
      <c r="C57" s="30" t="s">
        <v>90</v>
      </c>
      <c r="D57" s="30"/>
      <c r="E57" s="30"/>
      <c r="F57" s="30"/>
    </row>
    <row r="58" spans="2:6" x14ac:dyDescent="0.25">
      <c r="B58" s="11">
        <v>20</v>
      </c>
      <c r="C58" s="30" t="s">
        <v>91</v>
      </c>
      <c r="D58" s="30"/>
      <c r="E58" s="30"/>
      <c r="F58" s="30"/>
    </row>
    <row r="59" spans="2:6" x14ac:dyDescent="0.25">
      <c r="B59" s="11">
        <v>21</v>
      </c>
      <c r="C59" s="30" t="s">
        <v>92</v>
      </c>
      <c r="D59" s="30"/>
      <c r="E59" s="30"/>
      <c r="F59" s="30"/>
    </row>
    <row r="60" spans="2:6" x14ac:dyDescent="0.25">
      <c r="B60" s="11">
        <v>22</v>
      </c>
      <c r="C60" s="30" t="s">
        <v>93</v>
      </c>
      <c r="D60" s="30"/>
      <c r="E60" s="30"/>
      <c r="F60" s="30"/>
    </row>
    <row r="61" spans="2:6" x14ac:dyDescent="0.25">
      <c r="B61" s="11">
        <v>23</v>
      </c>
      <c r="C61" s="30" t="s">
        <v>94</v>
      </c>
      <c r="D61" s="30"/>
      <c r="E61" s="30"/>
      <c r="F61" s="30"/>
    </row>
    <row r="62" spans="2:6" x14ac:dyDescent="0.25">
      <c r="B62" s="11">
        <v>24</v>
      </c>
      <c r="C62" s="30" t="s">
        <v>95</v>
      </c>
      <c r="D62" s="30"/>
      <c r="E62" s="30"/>
      <c r="F62" s="30"/>
    </row>
    <row r="63" spans="2:6" x14ac:dyDescent="0.25">
      <c r="B63" s="11">
        <v>25</v>
      </c>
      <c r="C63" s="30" t="s">
        <v>96</v>
      </c>
      <c r="D63" s="30"/>
      <c r="E63" s="30"/>
      <c r="F63" s="30"/>
    </row>
    <row r="64" spans="2:6" x14ac:dyDescent="0.25">
      <c r="B64" s="11">
        <v>26</v>
      </c>
      <c r="C64" s="30" t="s">
        <v>97</v>
      </c>
      <c r="D64" s="30"/>
      <c r="E64" s="30"/>
      <c r="F64" s="30"/>
    </row>
    <row r="65" spans="2:6" x14ac:dyDescent="0.25">
      <c r="B65" s="11">
        <v>27</v>
      </c>
      <c r="C65" s="30" t="s">
        <v>98</v>
      </c>
      <c r="D65" s="30"/>
      <c r="E65" s="30"/>
      <c r="F65" s="30"/>
    </row>
    <row r="66" spans="2:6" x14ac:dyDescent="0.25">
      <c r="B66" s="11">
        <v>28</v>
      </c>
      <c r="C66" s="30" t="s">
        <v>99</v>
      </c>
      <c r="D66" s="30"/>
      <c r="E66" s="30"/>
      <c r="F66" s="30"/>
    </row>
    <row r="69" spans="2:6" x14ac:dyDescent="0.25">
      <c r="B69" s="23" t="s">
        <v>104</v>
      </c>
      <c r="C69" s="24" t="s">
        <v>158</v>
      </c>
      <c r="D69" s="24"/>
      <c r="E69" s="24"/>
      <c r="F69" s="24"/>
    </row>
    <row r="70" spans="2:6" x14ac:dyDescent="0.25">
      <c r="B70" s="11">
        <v>1</v>
      </c>
      <c r="C70" s="30" t="s">
        <v>159</v>
      </c>
      <c r="D70" s="30"/>
      <c r="E70" s="30"/>
      <c r="F70" s="30"/>
    </row>
  </sheetData>
  <mergeCells count="34">
    <mergeCell ref="B2:F2"/>
    <mergeCell ref="B3:F3"/>
    <mergeCell ref="B4:F4"/>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9:F69"/>
    <mergeCell ref="C70:F70"/>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64"/>
  <sheetFormatPr defaultRowHeight="15" outlineLevelRow="0" outlineLevelCol="0" x14ac:dyDescent="55"/>
  <cols>
    <col min="1" max="2" width="7.75" customWidth="1"/>
    <col min="3" max="3" width="43.25" customWidth="1"/>
    <col min="4" max="5" width="12" customWidth="1"/>
    <col min="6" max="6" width="45.25" customWidth="1"/>
    <col min="7" max="7" width="11" customWidth="1"/>
    <col min="8" max="8" width="22" customWidth="1"/>
    <col min="9" max="9" width="13" customWidth="1"/>
    <col min="10" max="11" width="12" customWidth="1"/>
    <col min="12" max="26" width="7.75" customWidth="1"/>
  </cols>
  <sheetData>
    <row r="2" spans="2:6" x14ac:dyDescent="0.25">
      <c r="B2" s="17" t="s">
        <v>193</v>
      </c>
      <c r="C2" s="17"/>
      <c r="D2" s="17"/>
      <c r="E2" s="17"/>
      <c r="F2" s="17"/>
    </row>
    <row r="3" spans="2:6" x14ac:dyDescent="0.25">
      <c r="B3" s="18" t="s">
        <v>8</v>
      </c>
      <c r="C3" s="18"/>
      <c r="D3" s="18"/>
      <c r="E3" s="18"/>
      <c r="F3" s="18"/>
    </row>
    <row r="4" spans="2:6" x14ac:dyDescent="0.25">
      <c r="B4" s="19" t="s">
        <v>101</v>
      </c>
      <c r="C4" s="19"/>
      <c r="D4" s="19"/>
      <c r="E4" s="19"/>
      <c r="F4" s="19"/>
    </row>
    <row r="6" spans="3:6" x14ac:dyDescent="0.25">
      <c r="C6" s="20" t="s">
        <v>194</v>
      </c>
      <c r="D6" s="21">
        <f>D23</f>
        <v>22.9</v>
      </c>
      <c r="E6" s="21">
        <f>E23</f>
        <v>43.8</v>
      </c>
      <c r="F6" s="22" t="s">
        <v>195</v>
      </c>
    </row>
    <row r="8" spans="2:9" x14ac:dyDescent="0.25">
      <c r="B8" s="23" t="s">
        <v>104</v>
      </c>
      <c r="C8" s="24" t="s">
        <v>196</v>
      </c>
      <c r="D8" s="25" t="s">
        <v>13</v>
      </c>
      <c r="E8" s="25" t="s">
        <v>14</v>
      </c>
      <c r="F8" s="23" t="s">
        <v>15</v>
      </c>
      <c r="G8" s="23" t="s">
        <v>106</v>
      </c>
      <c r="H8" s="23" t="s">
        <v>107</v>
      </c>
      <c r="I8" s="23" t="s">
        <v>108</v>
      </c>
    </row>
    <row r="9" spans="2:6" x14ac:dyDescent="0.25">
      <c r="B9" s="26">
        <v>1</v>
      </c>
      <c r="C9" s="27" t="s">
        <v>197</v>
      </c>
      <c r="D9" s="28">
        <v>0</v>
      </c>
      <c r="E9" s="28">
        <v>0</v>
      </c>
      <c r="F9" s="29" t="s">
        <v>198</v>
      </c>
    </row>
    <row r="10" spans="2:6" x14ac:dyDescent="0.25">
      <c r="B10" s="26">
        <v>2</v>
      </c>
      <c r="C10" s="27" t="s">
        <v>199</v>
      </c>
      <c r="D10" s="28">
        <v>0</v>
      </c>
      <c r="E10" s="28">
        <v>0</v>
      </c>
      <c r="F10" s="29" t="s">
        <v>200</v>
      </c>
    </row>
    <row r="11" spans="2:6" x14ac:dyDescent="0.25">
      <c r="B11" s="26">
        <v>3</v>
      </c>
      <c r="C11" s="27" t="s">
        <v>201</v>
      </c>
      <c r="D11" s="28">
        <f>SUM(D12:D14)</f>
        <v>9</v>
      </c>
      <c r="E11" s="28">
        <f>SUM(E12:E14)</f>
        <v>18</v>
      </c>
      <c r="F11" s="29" t="s">
        <v>202</v>
      </c>
    </row>
    <row r="12" spans="2:9" x14ac:dyDescent="0.25">
      <c r="B12" s="11" t="s">
        <v>39</v>
      </c>
      <c r="C12" s="30" t="s">
        <v>203</v>
      </c>
      <c r="D12" s="31">
        <v>3</v>
      </c>
      <c r="E12" s="31">
        <v>6</v>
      </c>
      <c r="F12" s="9" t="s">
        <v>204</v>
      </c>
      <c r="G12" t="s">
        <v>117</v>
      </c>
      <c r="H12" t="s">
        <v>205</v>
      </c>
      <c r="I12" t="s">
        <v>206</v>
      </c>
    </row>
    <row r="13" spans="2:9" x14ac:dyDescent="0.25">
      <c r="B13" s="11" t="s">
        <v>39</v>
      </c>
      <c r="C13" s="30" t="s">
        <v>207</v>
      </c>
      <c r="D13" s="31">
        <v>3</v>
      </c>
      <c r="E13" s="31">
        <v>6</v>
      </c>
      <c r="F13" s="9" t="s">
        <v>208</v>
      </c>
      <c r="G13" t="s">
        <v>117</v>
      </c>
      <c r="H13" t="s">
        <v>209</v>
      </c>
      <c r="I13" t="s">
        <v>210</v>
      </c>
    </row>
    <row r="14" spans="2:9" x14ac:dyDescent="0.25">
      <c r="B14" s="11" t="s">
        <v>39</v>
      </c>
      <c r="C14" s="30" t="s">
        <v>211</v>
      </c>
      <c r="D14" s="31">
        <v>3</v>
      </c>
      <c r="E14" s="31">
        <v>6</v>
      </c>
      <c r="F14" s="9" t="s">
        <v>212</v>
      </c>
      <c r="G14" t="s">
        <v>117</v>
      </c>
      <c r="H14" t="s">
        <v>213</v>
      </c>
      <c r="I14" t="s">
        <v>214</v>
      </c>
    </row>
    <row r="15" spans="2:6" x14ac:dyDescent="0.25">
      <c r="B15" s="26">
        <v>4</v>
      </c>
      <c r="C15" s="27" t="s">
        <v>215</v>
      </c>
      <c r="D15" s="28">
        <f>SUM(D16:D16)</f>
        <v>6</v>
      </c>
      <c r="E15" s="28">
        <f>SUM(E16:E16)</f>
        <v>10</v>
      </c>
      <c r="F15" s="29" t="s">
        <v>216</v>
      </c>
    </row>
    <row r="16" spans="3:5" x14ac:dyDescent="0.25">
      <c r="C16" s="30" t="s">
        <v>217</v>
      </c>
      <c r="D16" s="31">
        <f>D29</f>
        <v>6</v>
      </c>
      <c r="E16" s="31">
        <f>E29</f>
        <v>10</v>
      </c>
    </row>
    <row r="17" spans="2:6" x14ac:dyDescent="0.25">
      <c r="B17" s="26">
        <v>5</v>
      </c>
      <c r="C17" s="27" t="s">
        <v>218</v>
      </c>
      <c r="D17" s="28">
        <v>0</v>
      </c>
      <c r="E17" s="28">
        <v>0</v>
      </c>
      <c r="F17" s="29" t="s">
        <v>219</v>
      </c>
    </row>
    <row r="18" spans="2:6" x14ac:dyDescent="0.25">
      <c r="B18" s="26">
        <v>6</v>
      </c>
      <c r="C18" s="27" t="s">
        <v>220</v>
      </c>
      <c r="D18" s="28">
        <f>SUM(D19:D19)</f>
        <v>3.9</v>
      </c>
      <c r="E18" s="28">
        <f>SUM(E19:E19)</f>
        <v>7.8</v>
      </c>
      <c r="F18" s="29" t="s">
        <v>221</v>
      </c>
    </row>
    <row r="19" spans="2:9" x14ac:dyDescent="0.25">
      <c r="B19" s="11" t="s">
        <v>39</v>
      </c>
      <c r="C19" s="30" t="s">
        <v>222</v>
      </c>
      <c r="D19" s="31">
        <v>3.9</v>
      </c>
      <c r="E19" s="31">
        <v>7.8</v>
      </c>
      <c r="F19" s="9" t="s">
        <v>223</v>
      </c>
      <c r="G19" t="s">
        <v>117</v>
      </c>
      <c r="H19" t="s">
        <v>224</v>
      </c>
      <c r="I19" t="s">
        <v>225</v>
      </c>
    </row>
    <row r="20" spans="2:6" x14ac:dyDescent="0.25">
      <c r="B20" s="26">
        <v>7</v>
      </c>
      <c r="C20" s="27" t="s">
        <v>226</v>
      </c>
      <c r="D20" s="28">
        <f>SUM(D21:D21)</f>
        <v>4</v>
      </c>
      <c r="E20" s="28">
        <f>SUM(E21:E21)</f>
        <v>8</v>
      </c>
      <c r="F20" s="29" t="s">
        <v>227</v>
      </c>
    </row>
    <row r="21" spans="2:9" x14ac:dyDescent="0.25">
      <c r="B21" s="11" t="s">
        <v>39</v>
      </c>
      <c r="C21" s="30" t="s">
        <v>228</v>
      </c>
      <c r="D21" s="31">
        <v>4</v>
      </c>
      <c r="E21" s="31">
        <v>8</v>
      </c>
      <c r="F21" s="9" t="s">
        <v>229</v>
      </c>
      <c r="G21" t="s">
        <v>230</v>
      </c>
      <c r="H21" t="s">
        <v>39</v>
      </c>
      <c r="I21" t="s">
        <v>231</v>
      </c>
    </row>
    <row r="22" spans="2:6" x14ac:dyDescent="0.25">
      <c r="B22" s="26">
        <v>8</v>
      </c>
      <c r="C22" s="27" t="s">
        <v>232</v>
      </c>
      <c r="D22" s="28">
        <v>0</v>
      </c>
      <c r="E22" s="28">
        <v>0</v>
      </c>
      <c r="F22" s="29" t="s">
        <v>233</v>
      </c>
    </row>
    <row r="23" spans="2:6" x14ac:dyDescent="0.25">
      <c r="B23" s="32" t="s">
        <v>39</v>
      </c>
      <c r="C23" s="32" t="s">
        <v>234</v>
      </c>
      <c r="D23" s="33">
        <f>D9+D10+D11+D15+D17+D18+D20+D22</f>
        <v>22.9</v>
      </c>
      <c r="E23" s="33">
        <f>E9+E10+E11+E15+E17+E18+E20+E22</f>
        <v>43.8</v>
      </c>
      <c r="F23" s="34" t="s">
        <v>235</v>
      </c>
    </row>
    <row r="26" spans="2:9" x14ac:dyDescent="0.25">
      <c r="B26" s="23" t="s">
        <v>104</v>
      </c>
      <c r="C26" s="24" t="s">
        <v>236</v>
      </c>
      <c r="D26" s="25" t="s">
        <v>13</v>
      </c>
      <c r="E26" s="25" t="s">
        <v>14</v>
      </c>
      <c r="F26" s="23" t="s">
        <v>15</v>
      </c>
      <c r="G26" s="23" t="s">
        <v>106</v>
      </c>
      <c r="H26" s="23" t="s">
        <v>107</v>
      </c>
      <c r="I26" s="23" t="s">
        <v>108</v>
      </c>
    </row>
    <row r="27" spans="3:3" x14ac:dyDescent="0.25">
      <c r="C27" s="27" t="s">
        <v>217</v>
      </c>
    </row>
    <row r="28" spans="2:9" x14ac:dyDescent="0.25">
      <c r="B28" s="11">
        <v>1</v>
      </c>
      <c r="C28" s="30" t="s">
        <v>237</v>
      </c>
      <c r="D28" s="31">
        <v>6</v>
      </c>
      <c r="E28" s="31">
        <v>10</v>
      </c>
      <c r="F28" s="9" t="s">
        <v>238</v>
      </c>
      <c r="G28" t="s">
        <v>117</v>
      </c>
      <c r="H28" t="s">
        <v>239</v>
      </c>
      <c r="I28" t="s">
        <v>240</v>
      </c>
    </row>
    <row r="29" spans="2:6" x14ac:dyDescent="0.25">
      <c r="B29" s="32" t="s">
        <v>39</v>
      </c>
      <c r="C29" s="32" t="s">
        <v>241</v>
      </c>
      <c r="D29" s="33">
        <f>D28</f>
        <v>6</v>
      </c>
      <c r="E29" s="33">
        <f>E28</f>
        <v>10</v>
      </c>
      <c r="F29" s="34" t="s">
        <v>242</v>
      </c>
    </row>
    <row r="32" spans="2:6" x14ac:dyDescent="0.25">
      <c r="B32" s="23" t="s">
        <v>104</v>
      </c>
      <c r="C32" s="24" t="s">
        <v>157</v>
      </c>
      <c r="D32" s="24"/>
      <c r="E32" s="24"/>
      <c r="F32" s="24"/>
    </row>
    <row r="33" spans="2:6" x14ac:dyDescent="0.25">
      <c r="B33" s="11">
        <v>1</v>
      </c>
      <c r="C33" s="30" t="s">
        <v>72</v>
      </c>
      <c r="D33" s="30"/>
      <c r="E33" s="30"/>
      <c r="F33" s="30"/>
    </row>
    <row r="34" spans="2:6" x14ac:dyDescent="0.25">
      <c r="B34" s="11">
        <v>2</v>
      </c>
      <c r="C34" s="30" t="s">
        <v>73</v>
      </c>
      <c r="D34" s="30"/>
      <c r="E34" s="30"/>
      <c r="F34" s="30"/>
    </row>
    <row r="35" spans="2:6" x14ac:dyDescent="0.25">
      <c r="B35" s="11">
        <v>3</v>
      </c>
      <c r="C35" s="30" t="s">
        <v>74</v>
      </c>
      <c r="D35" s="30"/>
      <c r="E35" s="30"/>
      <c r="F35" s="30"/>
    </row>
    <row r="36" spans="2:6" x14ac:dyDescent="0.25">
      <c r="B36" s="11">
        <v>4</v>
      </c>
      <c r="C36" s="30" t="s">
        <v>75</v>
      </c>
      <c r="D36" s="30"/>
      <c r="E36" s="30"/>
      <c r="F36" s="30"/>
    </row>
    <row r="37" spans="2:6" x14ac:dyDescent="0.25">
      <c r="B37" s="11">
        <v>5</v>
      </c>
      <c r="C37" s="30" t="s">
        <v>76</v>
      </c>
      <c r="D37" s="30"/>
      <c r="E37" s="30"/>
      <c r="F37" s="30"/>
    </row>
    <row r="38" spans="2:6" x14ac:dyDescent="0.25">
      <c r="B38" s="11">
        <v>6</v>
      </c>
      <c r="C38" s="30" t="s">
        <v>77</v>
      </c>
      <c r="D38" s="30"/>
      <c r="E38" s="30"/>
      <c r="F38" s="30"/>
    </row>
    <row r="39" spans="2:6" x14ac:dyDescent="0.25">
      <c r="B39" s="11">
        <v>7</v>
      </c>
      <c r="C39" s="30" t="s">
        <v>78</v>
      </c>
      <c r="D39" s="30"/>
      <c r="E39" s="30"/>
      <c r="F39" s="30"/>
    </row>
    <row r="40" spans="2:6" x14ac:dyDescent="0.25">
      <c r="B40" s="11">
        <v>8</v>
      </c>
      <c r="C40" s="30" t="s">
        <v>79</v>
      </c>
      <c r="D40" s="30"/>
      <c r="E40" s="30"/>
      <c r="F40" s="30"/>
    </row>
    <row r="41" spans="2:6" x14ac:dyDescent="0.25">
      <c r="B41" s="11">
        <v>9</v>
      </c>
      <c r="C41" s="30" t="s">
        <v>80</v>
      </c>
      <c r="D41" s="30"/>
      <c r="E41" s="30"/>
      <c r="F41" s="30"/>
    </row>
    <row r="42" spans="2:6" x14ac:dyDescent="0.25">
      <c r="B42" s="11">
        <v>10</v>
      </c>
      <c r="C42" s="30" t="s">
        <v>81</v>
      </c>
      <c r="D42" s="30"/>
      <c r="E42" s="30"/>
      <c r="F42" s="30"/>
    </row>
    <row r="43" spans="2:6" x14ac:dyDescent="0.25">
      <c r="B43" s="11">
        <v>11</v>
      </c>
      <c r="C43" s="30" t="s">
        <v>82</v>
      </c>
      <c r="D43" s="30"/>
      <c r="E43" s="30"/>
      <c r="F43" s="30"/>
    </row>
    <row r="44" spans="2:6" x14ac:dyDescent="0.25">
      <c r="B44" s="11">
        <v>12</v>
      </c>
      <c r="C44" s="30" t="s">
        <v>83</v>
      </c>
      <c r="D44" s="30"/>
      <c r="E44" s="30"/>
      <c r="F44" s="30"/>
    </row>
    <row r="45" spans="2:6" x14ac:dyDescent="0.25">
      <c r="B45" s="11">
        <v>13</v>
      </c>
      <c r="C45" s="30" t="s">
        <v>84</v>
      </c>
      <c r="D45" s="30"/>
      <c r="E45" s="30"/>
      <c r="F45" s="30"/>
    </row>
    <row r="46" spans="2:6" x14ac:dyDescent="0.25">
      <c r="B46" s="11">
        <v>14</v>
      </c>
      <c r="C46" s="30" t="s">
        <v>85</v>
      </c>
      <c r="D46" s="30"/>
      <c r="E46" s="30"/>
      <c r="F46" s="30"/>
    </row>
    <row r="47" spans="2:6" x14ac:dyDescent="0.25">
      <c r="B47" s="11">
        <v>15</v>
      </c>
      <c r="C47" s="30" t="s">
        <v>86</v>
      </c>
      <c r="D47" s="30"/>
      <c r="E47" s="30"/>
      <c r="F47" s="30"/>
    </row>
    <row r="48" spans="2:6" x14ac:dyDescent="0.25">
      <c r="B48" s="11">
        <v>16</v>
      </c>
      <c r="C48" s="30" t="s">
        <v>87</v>
      </c>
      <c r="D48" s="30"/>
      <c r="E48" s="30"/>
      <c r="F48" s="30"/>
    </row>
    <row r="49" spans="2:6" x14ac:dyDescent="0.25">
      <c r="B49" s="11">
        <v>17</v>
      </c>
      <c r="C49" s="30" t="s">
        <v>88</v>
      </c>
      <c r="D49" s="30"/>
      <c r="E49" s="30"/>
      <c r="F49" s="30"/>
    </row>
    <row r="50" spans="2:6" x14ac:dyDescent="0.25">
      <c r="B50" s="11">
        <v>18</v>
      </c>
      <c r="C50" s="30" t="s">
        <v>89</v>
      </c>
      <c r="D50" s="30"/>
      <c r="E50" s="30"/>
      <c r="F50" s="30"/>
    </row>
    <row r="51" spans="2:6" x14ac:dyDescent="0.25">
      <c r="B51" s="11">
        <v>19</v>
      </c>
      <c r="C51" s="30" t="s">
        <v>90</v>
      </c>
      <c r="D51" s="30"/>
      <c r="E51" s="30"/>
      <c r="F51" s="30"/>
    </row>
    <row r="52" spans="2:6" x14ac:dyDescent="0.25">
      <c r="B52" s="11">
        <v>20</v>
      </c>
      <c r="C52" s="30" t="s">
        <v>91</v>
      </c>
      <c r="D52" s="30"/>
      <c r="E52" s="30"/>
      <c r="F52" s="30"/>
    </row>
    <row r="53" spans="2:6" x14ac:dyDescent="0.25">
      <c r="B53" s="11">
        <v>21</v>
      </c>
      <c r="C53" s="30" t="s">
        <v>92</v>
      </c>
      <c r="D53" s="30"/>
      <c r="E53" s="30"/>
      <c r="F53" s="30"/>
    </row>
    <row r="54" spans="2:6" x14ac:dyDescent="0.25">
      <c r="B54" s="11">
        <v>22</v>
      </c>
      <c r="C54" s="30" t="s">
        <v>93</v>
      </c>
      <c r="D54" s="30"/>
      <c r="E54" s="30"/>
      <c r="F54" s="30"/>
    </row>
    <row r="55" spans="2:6" x14ac:dyDescent="0.25">
      <c r="B55" s="11">
        <v>23</v>
      </c>
      <c r="C55" s="30" t="s">
        <v>94</v>
      </c>
      <c r="D55" s="30"/>
      <c r="E55" s="30"/>
      <c r="F55" s="30"/>
    </row>
    <row r="56" spans="2:6" x14ac:dyDescent="0.25">
      <c r="B56" s="11">
        <v>24</v>
      </c>
      <c r="C56" s="30" t="s">
        <v>95</v>
      </c>
      <c r="D56" s="30"/>
      <c r="E56" s="30"/>
      <c r="F56" s="30"/>
    </row>
    <row r="57" spans="2:6" x14ac:dyDescent="0.25">
      <c r="B57" s="11">
        <v>25</v>
      </c>
      <c r="C57" s="30" t="s">
        <v>96</v>
      </c>
      <c r="D57" s="30"/>
      <c r="E57" s="30"/>
      <c r="F57" s="30"/>
    </row>
    <row r="58" spans="2:6" x14ac:dyDescent="0.25">
      <c r="B58" s="11">
        <v>26</v>
      </c>
      <c r="C58" s="30" t="s">
        <v>97</v>
      </c>
      <c r="D58" s="30"/>
      <c r="E58" s="30"/>
      <c r="F58" s="30"/>
    </row>
    <row r="59" spans="2:6" x14ac:dyDescent="0.25">
      <c r="B59" s="11">
        <v>27</v>
      </c>
      <c r="C59" s="30" t="s">
        <v>98</v>
      </c>
      <c r="D59" s="30"/>
      <c r="E59" s="30"/>
      <c r="F59" s="30"/>
    </row>
    <row r="60" spans="2:6" x14ac:dyDescent="0.25">
      <c r="B60" s="11">
        <v>28</v>
      </c>
      <c r="C60" s="30" t="s">
        <v>99</v>
      </c>
      <c r="D60" s="30"/>
      <c r="E60" s="30"/>
      <c r="F60" s="30"/>
    </row>
    <row r="63" spans="2:6" x14ac:dyDescent="0.25">
      <c r="B63" s="23" t="s">
        <v>104</v>
      </c>
      <c r="C63" s="24" t="s">
        <v>158</v>
      </c>
      <c r="D63" s="24"/>
      <c r="E63" s="24"/>
      <c r="F63" s="24"/>
    </row>
    <row r="64" spans="2:6" x14ac:dyDescent="0.25">
      <c r="B64" s="11">
        <v>1</v>
      </c>
      <c r="C64" s="30" t="s">
        <v>159</v>
      </c>
      <c r="D64" s="30"/>
      <c r="E64" s="30"/>
      <c r="F64" s="30"/>
    </row>
  </sheetData>
  <mergeCells count="34">
    <mergeCell ref="B2:F2"/>
    <mergeCell ref="B3:F3"/>
    <mergeCell ref="B4:F4"/>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3:F63"/>
    <mergeCell ref="C64:F64"/>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57"/>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9" max="9" width="13" customWidth="1"/>
    <col min="10" max="11" width="12" customWidth="1"/>
    <col min="12" max="26" width="7.75" customWidth="1"/>
  </cols>
  <sheetData>
    <row r="2" spans="2:6" x14ac:dyDescent="0.25">
      <c r="B2" s="17" t="s">
        <v>243</v>
      </c>
      <c r="C2" s="17"/>
      <c r="D2" s="17"/>
      <c r="E2" s="17"/>
      <c r="F2" s="17"/>
    </row>
    <row r="3" spans="2:6" x14ac:dyDescent="0.25">
      <c r="B3" s="18" t="s">
        <v>8</v>
      </c>
      <c r="C3" s="18"/>
      <c r="D3" s="18"/>
      <c r="E3" s="18"/>
      <c r="F3" s="18"/>
    </row>
    <row r="4" spans="2:6" x14ac:dyDescent="0.25">
      <c r="B4" s="19" t="s">
        <v>101</v>
      </c>
      <c r="C4" s="19"/>
      <c r="D4" s="19"/>
      <c r="E4" s="19"/>
      <c r="F4" s="19"/>
    </row>
    <row r="6" spans="3:6" x14ac:dyDescent="0.25">
      <c r="C6" s="20" t="s">
        <v>102</v>
      </c>
      <c r="D6" s="21">
        <f>D12+D17+D22</f>
        <v>2</v>
      </c>
      <c r="E6" s="21">
        <f>E12+E17+E22</f>
        <v>4</v>
      </c>
      <c r="F6" s="22" t="s">
        <v>103</v>
      </c>
    </row>
    <row r="8" spans="2:9" x14ac:dyDescent="0.25">
      <c r="B8" s="23" t="s">
        <v>104</v>
      </c>
      <c r="C8" s="24" t="s">
        <v>105</v>
      </c>
      <c r="D8" s="25" t="s">
        <v>13</v>
      </c>
      <c r="E8" s="25" t="s">
        <v>14</v>
      </c>
      <c r="F8" s="23" t="s">
        <v>15</v>
      </c>
      <c r="G8" s="23" t="s">
        <v>106</v>
      </c>
      <c r="H8" s="23" t="s">
        <v>107</v>
      </c>
      <c r="I8" s="23" t="s">
        <v>108</v>
      </c>
    </row>
    <row r="9" spans="2:6" x14ac:dyDescent="0.25">
      <c r="B9" s="26">
        <v>1</v>
      </c>
      <c r="C9" s="27" t="s">
        <v>109</v>
      </c>
      <c r="D9" s="28">
        <f>SUM(D10:D10)</f>
        <v>2</v>
      </c>
      <c r="E9" s="28">
        <f>SUM(E10:E10)</f>
        <v>4</v>
      </c>
      <c r="F9" s="29" t="s">
        <v>39</v>
      </c>
    </row>
    <row r="10" spans="2:9" x14ac:dyDescent="0.25">
      <c r="B10" s="11" t="s">
        <v>39</v>
      </c>
      <c r="C10" s="30" t="s">
        <v>244</v>
      </c>
      <c r="D10" s="31">
        <v>2</v>
      </c>
      <c r="E10" s="31">
        <v>4</v>
      </c>
      <c r="F10" s="9" t="s">
        <v>245</v>
      </c>
      <c r="G10" t="s">
        <v>230</v>
      </c>
      <c r="H10" t="s">
        <v>39</v>
      </c>
      <c r="I10" t="s">
        <v>246</v>
      </c>
    </row>
    <row r="12" spans="2:6" x14ac:dyDescent="0.25">
      <c r="B12" s="32" t="s">
        <v>39</v>
      </c>
      <c r="C12" s="32" t="s">
        <v>150</v>
      </c>
      <c r="D12" s="33">
        <f>D9</f>
        <v>2</v>
      </c>
      <c r="E12" s="33">
        <f>E9</f>
        <v>4</v>
      </c>
      <c r="F12" s="34" t="s">
        <v>39</v>
      </c>
    </row>
    <row r="15" spans="2:9" x14ac:dyDescent="0.25">
      <c r="B15" s="23" t="s">
        <v>104</v>
      </c>
      <c r="C15" s="24" t="s">
        <v>151</v>
      </c>
      <c r="D15" s="25" t="s">
        <v>13</v>
      </c>
      <c r="E15" s="25" t="s">
        <v>14</v>
      </c>
      <c r="F15" s="23" t="s">
        <v>15</v>
      </c>
      <c r="G15" s="23" t="s">
        <v>106</v>
      </c>
      <c r="H15" s="23" t="s">
        <v>107</v>
      </c>
      <c r="I15" s="23" t="s">
        <v>108</v>
      </c>
    </row>
    <row r="16" spans="2:6" x14ac:dyDescent="0.25">
      <c r="B16" s="11">
        <v>1</v>
      </c>
      <c r="C16" s="30" t="s">
        <v>152</v>
      </c>
      <c r="D16" s="31">
        <v>0</v>
      </c>
      <c r="E16" s="31">
        <v>0</v>
      </c>
      <c r="F16" s="9" t="s">
        <v>39</v>
      </c>
    </row>
    <row r="17" spans="2:6" x14ac:dyDescent="0.25">
      <c r="B17" s="32" t="s">
        <v>39</v>
      </c>
      <c r="C17" s="32" t="s">
        <v>153</v>
      </c>
      <c r="D17" s="33">
        <f>SUM(D16:D16)</f>
        <v>0</v>
      </c>
      <c r="E17" s="33">
        <f>SUM(E16:E16)</f>
        <v>0</v>
      </c>
      <c r="F17" s="34" t="s">
        <v>39</v>
      </c>
    </row>
    <row r="20" spans="2:9" x14ac:dyDescent="0.25">
      <c r="B20" s="23" t="s">
        <v>104</v>
      </c>
      <c r="C20" s="24" t="s">
        <v>154</v>
      </c>
      <c r="D20" s="25" t="s">
        <v>13</v>
      </c>
      <c r="E20" s="25" t="s">
        <v>14</v>
      </c>
      <c r="F20" s="23" t="s">
        <v>15</v>
      </c>
      <c r="G20" s="23" t="s">
        <v>106</v>
      </c>
      <c r="H20" s="23" t="s">
        <v>107</v>
      </c>
      <c r="I20" s="23" t="s">
        <v>108</v>
      </c>
    </row>
    <row r="21" spans="2:6" x14ac:dyDescent="0.25">
      <c r="B21" s="11">
        <v>1</v>
      </c>
      <c r="C21" s="30" t="s">
        <v>152</v>
      </c>
      <c r="D21" s="31">
        <v>0</v>
      </c>
      <c r="E21" s="31">
        <v>0</v>
      </c>
      <c r="F21" s="9" t="s">
        <v>155</v>
      </c>
    </row>
    <row r="22" spans="2:6" x14ac:dyDescent="0.25">
      <c r="B22" s="32" t="s">
        <v>39</v>
      </c>
      <c r="C22" s="32" t="s">
        <v>156</v>
      </c>
      <c r="D22" s="33">
        <f>SUM(D21:D21)</f>
        <v>0</v>
      </c>
      <c r="E22" s="33">
        <f>SUM(E21:E21)</f>
        <v>0</v>
      </c>
      <c r="F22" s="34" t="s">
        <v>39</v>
      </c>
    </row>
    <row r="25" spans="2:6" x14ac:dyDescent="0.25">
      <c r="B25" s="23" t="s">
        <v>104</v>
      </c>
      <c r="C25" s="24" t="s">
        <v>157</v>
      </c>
      <c r="D25" s="24"/>
      <c r="E25" s="24"/>
      <c r="F25" s="24"/>
    </row>
    <row r="26" spans="2:6" x14ac:dyDescent="0.25">
      <c r="B26" s="11">
        <v>1</v>
      </c>
      <c r="C26" s="30" t="s">
        <v>72</v>
      </c>
      <c r="D26" s="30"/>
      <c r="E26" s="30"/>
      <c r="F26" s="30"/>
    </row>
    <row r="27" spans="2:6" x14ac:dyDescent="0.25">
      <c r="B27" s="11">
        <v>2</v>
      </c>
      <c r="C27" s="30" t="s">
        <v>73</v>
      </c>
      <c r="D27" s="30"/>
      <c r="E27" s="30"/>
      <c r="F27" s="30"/>
    </row>
    <row r="28" spans="2:6" x14ac:dyDescent="0.25">
      <c r="B28" s="11">
        <v>3</v>
      </c>
      <c r="C28" s="30" t="s">
        <v>74</v>
      </c>
      <c r="D28" s="30"/>
      <c r="E28" s="30"/>
      <c r="F28" s="30"/>
    </row>
    <row r="29" spans="2:6" x14ac:dyDescent="0.25">
      <c r="B29" s="11">
        <v>4</v>
      </c>
      <c r="C29" s="30" t="s">
        <v>75</v>
      </c>
      <c r="D29" s="30"/>
      <c r="E29" s="30"/>
      <c r="F29" s="30"/>
    </row>
    <row r="30" spans="2:6" x14ac:dyDescent="0.25">
      <c r="B30" s="11">
        <v>5</v>
      </c>
      <c r="C30" s="30" t="s">
        <v>76</v>
      </c>
      <c r="D30" s="30"/>
      <c r="E30" s="30"/>
      <c r="F30" s="30"/>
    </row>
    <row r="31" spans="2:6" x14ac:dyDescent="0.25">
      <c r="B31" s="11">
        <v>6</v>
      </c>
      <c r="C31" s="30" t="s">
        <v>77</v>
      </c>
      <c r="D31" s="30"/>
      <c r="E31" s="30"/>
      <c r="F31" s="30"/>
    </row>
    <row r="32" spans="2:6" x14ac:dyDescent="0.25">
      <c r="B32" s="11">
        <v>7</v>
      </c>
      <c r="C32" s="30" t="s">
        <v>78</v>
      </c>
      <c r="D32" s="30"/>
      <c r="E32" s="30"/>
      <c r="F32" s="30"/>
    </row>
    <row r="33" spans="2:6" x14ac:dyDescent="0.25">
      <c r="B33" s="11">
        <v>8</v>
      </c>
      <c r="C33" s="30" t="s">
        <v>79</v>
      </c>
      <c r="D33" s="30"/>
      <c r="E33" s="30"/>
      <c r="F33" s="30"/>
    </row>
    <row r="34" spans="2:6" x14ac:dyDescent="0.25">
      <c r="B34" s="11">
        <v>9</v>
      </c>
      <c r="C34" s="30" t="s">
        <v>80</v>
      </c>
      <c r="D34" s="30"/>
      <c r="E34" s="30"/>
      <c r="F34" s="30"/>
    </row>
    <row r="35" spans="2:6" x14ac:dyDescent="0.25">
      <c r="B35" s="11">
        <v>10</v>
      </c>
      <c r="C35" s="30" t="s">
        <v>81</v>
      </c>
      <c r="D35" s="30"/>
      <c r="E35" s="30"/>
      <c r="F35" s="30"/>
    </row>
    <row r="36" spans="2:6" x14ac:dyDescent="0.25">
      <c r="B36" s="11">
        <v>11</v>
      </c>
      <c r="C36" s="30" t="s">
        <v>82</v>
      </c>
      <c r="D36" s="30"/>
      <c r="E36" s="30"/>
      <c r="F36" s="30"/>
    </row>
    <row r="37" spans="2:6" x14ac:dyDescent="0.25">
      <c r="B37" s="11">
        <v>12</v>
      </c>
      <c r="C37" s="30" t="s">
        <v>83</v>
      </c>
      <c r="D37" s="30"/>
      <c r="E37" s="30"/>
      <c r="F37" s="30"/>
    </row>
    <row r="38" spans="2:6" x14ac:dyDescent="0.25">
      <c r="B38" s="11">
        <v>13</v>
      </c>
      <c r="C38" s="30" t="s">
        <v>84</v>
      </c>
      <c r="D38" s="30"/>
      <c r="E38" s="30"/>
      <c r="F38" s="30"/>
    </row>
    <row r="39" spans="2:6" x14ac:dyDescent="0.25">
      <c r="B39" s="11">
        <v>14</v>
      </c>
      <c r="C39" s="30" t="s">
        <v>85</v>
      </c>
      <c r="D39" s="30"/>
      <c r="E39" s="30"/>
      <c r="F39" s="30"/>
    </row>
    <row r="40" spans="2:6" x14ac:dyDescent="0.25">
      <c r="B40" s="11">
        <v>15</v>
      </c>
      <c r="C40" s="30" t="s">
        <v>86</v>
      </c>
      <c r="D40" s="30"/>
      <c r="E40" s="30"/>
      <c r="F40" s="30"/>
    </row>
    <row r="41" spans="2:6" x14ac:dyDescent="0.25">
      <c r="B41" s="11">
        <v>16</v>
      </c>
      <c r="C41" s="30" t="s">
        <v>87</v>
      </c>
      <c r="D41" s="30"/>
      <c r="E41" s="30"/>
      <c r="F41" s="30"/>
    </row>
    <row r="42" spans="2:6" x14ac:dyDescent="0.25">
      <c r="B42" s="11">
        <v>17</v>
      </c>
      <c r="C42" s="30" t="s">
        <v>88</v>
      </c>
      <c r="D42" s="30"/>
      <c r="E42" s="30"/>
      <c r="F42" s="30"/>
    </row>
    <row r="43" spans="2:6" x14ac:dyDescent="0.25">
      <c r="B43" s="11">
        <v>18</v>
      </c>
      <c r="C43" s="30" t="s">
        <v>89</v>
      </c>
      <c r="D43" s="30"/>
      <c r="E43" s="30"/>
      <c r="F43" s="30"/>
    </row>
    <row r="44" spans="2:6" x14ac:dyDescent="0.25">
      <c r="B44" s="11">
        <v>19</v>
      </c>
      <c r="C44" s="30" t="s">
        <v>90</v>
      </c>
      <c r="D44" s="30"/>
      <c r="E44" s="30"/>
      <c r="F44" s="30"/>
    </row>
    <row r="45" spans="2:6" x14ac:dyDescent="0.25">
      <c r="B45" s="11">
        <v>20</v>
      </c>
      <c r="C45" s="30" t="s">
        <v>91</v>
      </c>
      <c r="D45" s="30"/>
      <c r="E45" s="30"/>
      <c r="F45" s="30"/>
    </row>
    <row r="46" spans="2:6" x14ac:dyDescent="0.25">
      <c r="B46" s="11">
        <v>21</v>
      </c>
      <c r="C46" s="30" t="s">
        <v>92</v>
      </c>
      <c r="D46" s="30"/>
      <c r="E46" s="30"/>
      <c r="F46" s="30"/>
    </row>
    <row r="47" spans="2:6" x14ac:dyDescent="0.25">
      <c r="B47" s="11">
        <v>22</v>
      </c>
      <c r="C47" s="30" t="s">
        <v>93</v>
      </c>
      <c r="D47" s="30"/>
      <c r="E47" s="30"/>
      <c r="F47" s="30"/>
    </row>
    <row r="48" spans="2:6" x14ac:dyDescent="0.25">
      <c r="B48" s="11">
        <v>23</v>
      </c>
      <c r="C48" s="30" t="s">
        <v>94</v>
      </c>
      <c r="D48" s="30"/>
      <c r="E48" s="30"/>
      <c r="F48" s="30"/>
    </row>
    <row r="49" spans="2:6" x14ac:dyDescent="0.25">
      <c r="B49" s="11">
        <v>24</v>
      </c>
      <c r="C49" s="30" t="s">
        <v>95</v>
      </c>
      <c r="D49" s="30"/>
      <c r="E49" s="30"/>
      <c r="F49" s="30"/>
    </row>
    <row r="50" spans="2:6" x14ac:dyDescent="0.25">
      <c r="B50" s="11">
        <v>25</v>
      </c>
      <c r="C50" s="30" t="s">
        <v>96</v>
      </c>
      <c r="D50" s="30"/>
      <c r="E50" s="30"/>
      <c r="F50" s="30"/>
    </row>
    <row r="51" spans="2:6" x14ac:dyDescent="0.25">
      <c r="B51" s="11">
        <v>26</v>
      </c>
      <c r="C51" s="30" t="s">
        <v>97</v>
      </c>
      <c r="D51" s="30"/>
      <c r="E51" s="30"/>
      <c r="F51" s="30"/>
    </row>
    <row r="52" spans="2:6" x14ac:dyDescent="0.25">
      <c r="B52" s="11">
        <v>27</v>
      </c>
      <c r="C52" s="30" t="s">
        <v>98</v>
      </c>
      <c r="D52" s="30"/>
      <c r="E52" s="30"/>
      <c r="F52" s="30"/>
    </row>
    <row r="53" spans="2:6" x14ac:dyDescent="0.25">
      <c r="B53" s="11">
        <v>28</v>
      </c>
      <c r="C53" s="30" t="s">
        <v>99</v>
      </c>
      <c r="D53" s="30"/>
      <c r="E53" s="30"/>
      <c r="F53" s="30"/>
    </row>
    <row r="56" spans="2:6" x14ac:dyDescent="0.25">
      <c r="B56" s="23" t="s">
        <v>104</v>
      </c>
      <c r="C56" s="24" t="s">
        <v>158</v>
      </c>
      <c r="D56" s="24"/>
      <c r="E56" s="24"/>
      <c r="F56" s="24"/>
    </row>
    <row r="57" spans="2:6" x14ac:dyDescent="0.25">
      <c r="B57" s="11">
        <v>1</v>
      </c>
      <c r="C57" s="30" t="s">
        <v>159</v>
      </c>
      <c r="D57" s="30"/>
      <c r="E57" s="30"/>
      <c r="F57" s="30"/>
    </row>
  </sheetData>
  <mergeCells count="34">
    <mergeCell ref="B2:F2"/>
    <mergeCell ref="B3:F3"/>
    <mergeCell ref="B4:F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6:F56"/>
    <mergeCell ref="C57:F57"/>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28"/>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9" max="9" width="13" customWidth="1"/>
    <col min="10" max="11" width="12" customWidth="1"/>
    <col min="12" max="26" width="7.75" customWidth="1"/>
  </cols>
  <sheetData>
    <row r="2" spans="2:6" x14ac:dyDescent="0.25">
      <c r="B2" s="17" t="s">
        <v>247</v>
      </c>
      <c r="C2" s="17"/>
      <c r="D2" s="17"/>
      <c r="E2" s="17"/>
      <c r="F2" s="17"/>
    </row>
    <row r="3" spans="2:6" x14ac:dyDescent="0.25">
      <c r="B3" s="18" t="s">
        <v>8</v>
      </c>
      <c r="C3" s="18"/>
      <c r="D3" s="18"/>
      <c r="E3" s="18"/>
      <c r="F3" s="18"/>
    </row>
    <row r="4" spans="2:6" x14ac:dyDescent="0.25">
      <c r="B4" s="19" t="s">
        <v>101</v>
      </c>
      <c r="C4" s="19"/>
      <c r="D4" s="19"/>
      <c r="E4" s="19"/>
      <c r="F4" s="19"/>
    </row>
    <row r="6" spans="2:2" x14ac:dyDescent="0.25">
      <c r="B6" s="27" t="s">
        <v>248</v>
      </c>
    </row>
    <row r="7" spans="2:2" x14ac:dyDescent="0.25">
      <c r="B7" s="35" t="s">
        <v>160</v>
      </c>
    </row>
    <row r="8" spans="2:9" x14ac:dyDescent="0.25">
      <c r="B8" s="23" t="s">
        <v>104</v>
      </c>
      <c r="C8" s="24" t="s">
        <v>105</v>
      </c>
      <c r="D8" s="25" t="s">
        <v>13</v>
      </c>
      <c r="E8" s="25" t="s">
        <v>14</v>
      </c>
      <c r="F8" s="23" t="s">
        <v>15</v>
      </c>
      <c r="G8" s="23" t="s">
        <v>106</v>
      </c>
      <c r="H8" s="23" t="s">
        <v>107</v>
      </c>
      <c r="I8" s="23" t="s">
        <v>108</v>
      </c>
    </row>
    <row r="9" spans="2:9" x14ac:dyDescent="0.25">
      <c r="B9" s="11">
        <v>1</v>
      </c>
      <c r="C9" s="30" t="s">
        <v>152</v>
      </c>
      <c r="D9" s="31">
        <v>0</v>
      </c>
      <c r="E9" s="31">
        <v>0</v>
      </c>
      <c r="F9" s="9" t="s">
        <v>39</v>
      </c>
      <c r="G9" t="s">
        <v>39</v>
      </c>
      <c r="H9" t="s">
        <v>39</v>
      </c>
      <c r="I9" t="s">
        <v>39</v>
      </c>
    </row>
    <row r="10" spans="3:5" x14ac:dyDescent="0.25">
      <c r="C10" s="32" t="s">
        <v>249</v>
      </c>
      <c r="D10" s="33">
        <f>SUM(D9:D9)</f>
        <v>0</v>
      </c>
      <c r="E10" s="33">
        <f>SUM(E9:E9)</f>
        <v>0</v>
      </c>
    </row>
    <row r="13" spans="2:2" x14ac:dyDescent="0.25">
      <c r="B13" s="27" t="s">
        <v>250</v>
      </c>
    </row>
    <row r="14" spans="2:9" x14ac:dyDescent="0.25">
      <c r="B14" s="23" t="s">
        <v>104</v>
      </c>
      <c r="C14" s="24" t="s">
        <v>105</v>
      </c>
      <c r="D14" s="25" t="s">
        <v>13</v>
      </c>
      <c r="E14" s="25" t="s">
        <v>14</v>
      </c>
      <c r="F14" s="23" t="s">
        <v>15</v>
      </c>
      <c r="G14" s="23" t="s">
        <v>106</v>
      </c>
      <c r="H14" s="23" t="s">
        <v>107</v>
      </c>
      <c r="I14" s="23" t="s">
        <v>108</v>
      </c>
    </row>
    <row r="15" spans="2:9" x14ac:dyDescent="0.25">
      <c r="B15" s="11">
        <v>1</v>
      </c>
      <c r="C15" s="30" t="s">
        <v>251</v>
      </c>
      <c r="D15" s="31">
        <v>4</v>
      </c>
      <c r="E15" s="31">
        <v>8</v>
      </c>
      <c r="F15" s="9" t="s">
        <v>252</v>
      </c>
      <c r="G15" t="s">
        <v>230</v>
      </c>
      <c r="H15" t="s">
        <v>39</v>
      </c>
      <c r="I15" t="s">
        <v>253</v>
      </c>
    </row>
    <row r="16" spans="3:5" x14ac:dyDescent="0.25">
      <c r="C16" s="32" t="s">
        <v>254</v>
      </c>
      <c r="D16" s="33">
        <f>SUM(D15:D15)</f>
        <v>4</v>
      </c>
      <c r="E16" s="33">
        <f>SUM(E15:E15)</f>
        <v>8</v>
      </c>
    </row>
    <row r="19" spans="2:2" x14ac:dyDescent="0.25">
      <c r="B19" s="27" t="s">
        <v>255</v>
      </c>
    </row>
    <row r="20" spans="2:9" x14ac:dyDescent="0.25">
      <c r="B20" s="23" t="s">
        <v>104</v>
      </c>
      <c r="C20" s="24" t="s">
        <v>105</v>
      </c>
      <c r="D20" s="25" t="s">
        <v>13</v>
      </c>
      <c r="E20" s="25" t="s">
        <v>14</v>
      </c>
      <c r="F20" s="23" t="s">
        <v>15</v>
      </c>
      <c r="G20" s="23" t="s">
        <v>106</v>
      </c>
      <c r="H20" s="23" t="s">
        <v>107</v>
      </c>
      <c r="I20" s="23" t="s">
        <v>108</v>
      </c>
    </row>
    <row r="21" spans="2:9" x14ac:dyDescent="0.25">
      <c r="B21" s="11">
        <v>1</v>
      </c>
      <c r="C21" s="30" t="s">
        <v>256</v>
      </c>
      <c r="D21" s="31">
        <v>2.88</v>
      </c>
      <c r="E21" s="31">
        <v>5.76</v>
      </c>
      <c r="F21" s="9" t="s">
        <v>257</v>
      </c>
      <c r="G21" t="s">
        <v>117</v>
      </c>
      <c r="H21" t="s">
        <v>39</v>
      </c>
      <c r="I21" t="s">
        <v>258</v>
      </c>
    </row>
    <row r="22" spans="3:5" x14ac:dyDescent="0.25">
      <c r="C22" s="32" t="s">
        <v>259</v>
      </c>
      <c r="D22" s="33">
        <f>SUM(D21:D21)</f>
        <v>2.88</v>
      </c>
      <c r="E22" s="33">
        <f>SUM(E21:E21)</f>
        <v>5.76</v>
      </c>
    </row>
    <row r="25" spans="2:2" x14ac:dyDescent="0.25">
      <c r="B25" s="27" t="s">
        <v>260</v>
      </c>
    </row>
    <row r="26" spans="2:9" x14ac:dyDescent="0.25">
      <c r="B26" s="23" t="s">
        <v>104</v>
      </c>
      <c r="C26" s="24" t="s">
        <v>105</v>
      </c>
      <c r="D26" s="25" t="s">
        <v>13</v>
      </c>
      <c r="E26" s="25" t="s">
        <v>14</v>
      </c>
      <c r="F26" s="23" t="s">
        <v>15</v>
      </c>
      <c r="G26" s="23" t="s">
        <v>106</v>
      </c>
      <c r="H26" s="23" t="s">
        <v>107</v>
      </c>
      <c r="I26" s="23" t="s">
        <v>108</v>
      </c>
    </row>
    <row r="27" spans="2:9" x14ac:dyDescent="0.25">
      <c r="B27" s="11">
        <v>1</v>
      </c>
      <c r="C27" s="30" t="s">
        <v>152</v>
      </c>
      <c r="D27" s="31">
        <v>0</v>
      </c>
      <c r="E27" s="31">
        <v>0</v>
      </c>
      <c r="F27" s="9" t="s">
        <v>39</v>
      </c>
      <c r="G27" t="s">
        <v>39</v>
      </c>
      <c r="H27" t="s">
        <v>39</v>
      </c>
      <c r="I27" t="s">
        <v>39</v>
      </c>
    </row>
    <row r="28" spans="3:5" x14ac:dyDescent="0.25">
      <c r="C28" s="32" t="s">
        <v>261</v>
      </c>
      <c r="D28" s="33">
        <f>SUM(D27:D27)</f>
        <v>0</v>
      </c>
      <c r="E28" s="33">
        <f>SUM(E27:E27)</f>
        <v>0</v>
      </c>
    </row>
  </sheetData>
  <mergeCells count="3">
    <mergeCell ref="B2:F2"/>
    <mergeCell ref="B3:F3"/>
    <mergeCell ref="B4:F4"/>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31"/>
  <sheetViews>
    <sheetView workbookViewId="0">
      <pane ySplit="4" topLeftCell="A5" activePane="bottomLeft" state="frozen"/>
      <selection pane="bottomLeft"/>
    </sheetView>
  </sheetViews>
  <sheetFormatPr defaultRowHeight="15" outlineLevelRow="0" outlineLevelCol="0" x14ac:dyDescent="55"/>
  <cols>
    <col min="3" max="3" width="46" customWidth="1"/>
    <col min="4" max="4" width="10" customWidth="1"/>
    <col min="5" max="5" width="30" customWidth="1"/>
    <col min="6" max="6" width="10" customWidth="1"/>
    <col min="7" max="7" width="22" customWidth="1"/>
    <col min="8" max="9" width="13" customWidth="1"/>
  </cols>
  <sheetData>
    <row r="1" spans="2:2" x14ac:dyDescent="0.25">
      <c r="B1" s="36" t="s">
        <v>262</v>
      </c>
    </row>
    <row r="2" spans="2:2" x14ac:dyDescent="0.25">
      <c r="B2" t="s">
        <v>263</v>
      </c>
    </row>
    <row r="4" spans="2:9" x14ac:dyDescent="0.25">
      <c r="B4" s="37" t="s">
        <v>108</v>
      </c>
      <c r="C4" s="37" t="s">
        <v>105</v>
      </c>
      <c r="D4" s="37" t="s">
        <v>264</v>
      </c>
      <c r="E4" s="37" t="s">
        <v>265</v>
      </c>
      <c r="F4" s="37" t="s">
        <v>106</v>
      </c>
      <c r="G4" s="37" t="s">
        <v>107</v>
      </c>
      <c r="H4" s="37" t="s">
        <v>13</v>
      </c>
      <c r="I4" s="37" t="s">
        <v>14</v>
      </c>
    </row>
    <row r="5" spans="2:9" x14ac:dyDescent="0.25">
      <c r="B5" t="s">
        <v>113</v>
      </c>
      <c r="C5" t="s">
        <v>110</v>
      </c>
      <c r="D5" t="s">
        <v>266</v>
      </c>
      <c r="E5" t="s">
        <v>109</v>
      </c>
      <c r="F5" t="s">
        <v>112</v>
      </c>
      <c r="G5" t="s">
        <v>39</v>
      </c>
      <c r="H5" s="16">
        <v>17.47</v>
      </c>
      <c r="I5" s="16">
        <v>30.58</v>
      </c>
    </row>
    <row r="6" spans="2:9" x14ac:dyDescent="0.25">
      <c r="B6" t="s">
        <v>128</v>
      </c>
      <c r="C6" t="s">
        <v>125</v>
      </c>
      <c r="D6" t="s">
        <v>266</v>
      </c>
      <c r="E6" t="s">
        <v>124</v>
      </c>
      <c r="F6" t="s">
        <v>117</v>
      </c>
      <c r="G6" t="s">
        <v>127</v>
      </c>
      <c r="H6" s="16">
        <v>2.16</v>
      </c>
      <c r="I6" s="16">
        <v>4.32</v>
      </c>
    </row>
    <row r="7" spans="2:9" x14ac:dyDescent="0.25">
      <c r="B7" t="s">
        <v>137</v>
      </c>
      <c r="C7" t="s">
        <v>134</v>
      </c>
      <c r="D7" t="s">
        <v>266</v>
      </c>
      <c r="E7" t="s">
        <v>133</v>
      </c>
      <c r="F7" t="s">
        <v>112</v>
      </c>
      <c r="G7" t="s">
        <v>136</v>
      </c>
      <c r="H7" s="16">
        <v>13.1</v>
      </c>
      <c r="I7" s="16">
        <v>20.97</v>
      </c>
    </row>
    <row r="8" spans="2:9" x14ac:dyDescent="0.25">
      <c r="B8" t="s">
        <v>119</v>
      </c>
      <c r="C8" t="s">
        <v>115</v>
      </c>
      <c r="D8" t="s">
        <v>266</v>
      </c>
      <c r="E8" t="s">
        <v>114</v>
      </c>
      <c r="F8" t="s">
        <v>117</v>
      </c>
      <c r="G8" t="s">
        <v>118</v>
      </c>
      <c r="H8" s="16">
        <v>3.9</v>
      </c>
      <c r="I8" s="16">
        <v>7.8</v>
      </c>
    </row>
    <row r="9" spans="2:9" x14ac:dyDescent="0.25">
      <c r="B9" t="s">
        <v>123</v>
      </c>
      <c r="C9" t="s">
        <v>120</v>
      </c>
      <c r="D9" t="s">
        <v>266</v>
      </c>
      <c r="E9" t="s">
        <v>114</v>
      </c>
      <c r="F9" t="s">
        <v>117</v>
      </c>
      <c r="G9" t="s">
        <v>122</v>
      </c>
      <c r="H9" s="16">
        <v>1.62</v>
      </c>
      <c r="I9" s="16">
        <v>3.24</v>
      </c>
    </row>
    <row r="10" spans="2:9" x14ac:dyDescent="0.25">
      <c r="B10" t="s">
        <v>132</v>
      </c>
      <c r="C10" t="s">
        <v>129</v>
      </c>
      <c r="D10" t="s">
        <v>266</v>
      </c>
      <c r="E10" t="s">
        <v>124</v>
      </c>
      <c r="F10" t="s">
        <v>117</v>
      </c>
      <c r="G10" t="s">
        <v>131</v>
      </c>
      <c r="H10" s="16">
        <v>12.8</v>
      </c>
      <c r="I10" s="16">
        <v>22.4</v>
      </c>
    </row>
    <row r="11" spans="2:9" x14ac:dyDescent="0.25">
      <c r="B11" t="s">
        <v>141</v>
      </c>
      <c r="C11" t="s">
        <v>138</v>
      </c>
      <c r="D11" t="s">
        <v>266</v>
      </c>
      <c r="E11" t="s">
        <v>133</v>
      </c>
      <c r="F11" t="s">
        <v>117</v>
      </c>
      <c r="G11" t="s">
        <v>140</v>
      </c>
      <c r="H11" s="16">
        <v>2.7</v>
      </c>
      <c r="I11" s="16">
        <v>5.4</v>
      </c>
    </row>
    <row r="12" spans="2:9" x14ac:dyDescent="0.25">
      <c r="B12" t="s">
        <v>145</v>
      </c>
      <c r="C12" t="s">
        <v>142</v>
      </c>
      <c r="D12" t="s">
        <v>266</v>
      </c>
      <c r="E12" t="s">
        <v>133</v>
      </c>
      <c r="F12" t="s">
        <v>117</v>
      </c>
      <c r="G12" t="s">
        <v>144</v>
      </c>
      <c r="H12" s="16">
        <v>1.62</v>
      </c>
      <c r="I12" s="16">
        <v>3.24</v>
      </c>
    </row>
    <row r="13" spans="2:9" x14ac:dyDescent="0.25">
      <c r="B13" t="s">
        <v>149</v>
      </c>
      <c r="C13" t="s">
        <v>146</v>
      </c>
      <c r="D13" t="s">
        <v>266</v>
      </c>
      <c r="E13" t="s">
        <v>133</v>
      </c>
      <c r="F13" t="s">
        <v>117</v>
      </c>
      <c r="G13" t="s">
        <v>148</v>
      </c>
      <c r="H13" s="16">
        <v>7.21</v>
      </c>
      <c r="I13" s="16">
        <v>12.61</v>
      </c>
    </row>
    <row r="14" spans="2:9" x14ac:dyDescent="0.25">
      <c r="B14" t="s">
        <v>164</v>
      </c>
      <c r="C14" t="s">
        <v>161</v>
      </c>
      <c r="D14" t="s">
        <v>267</v>
      </c>
      <c r="E14" t="s">
        <v>109</v>
      </c>
      <c r="F14" t="s">
        <v>117</v>
      </c>
      <c r="G14" t="s">
        <v>163</v>
      </c>
      <c r="H14" s="16">
        <v>4.8</v>
      </c>
      <c r="I14" s="16">
        <v>8.4</v>
      </c>
    </row>
    <row r="15" spans="2:9" x14ac:dyDescent="0.25">
      <c r="B15" t="s">
        <v>176</v>
      </c>
      <c r="C15" t="s">
        <v>173</v>
      </c>
      <c r="D15" t="s">
        <v>267</v>
      </c>
      <c r="E15" t="s">
        <v>172</v>
      </c>
      <c r="F15" t="s">
        <v>117</v>
      </c>
      <c r="G15" t="s">
        <v>175</v>
      </c>
      <c r="H15" s="16">
        <v>7.02</v>
      </c>
      <c r="I15" s="16">
        <v>11.7</v>
      </c>
    </row>
    <row r="16" spans="2:9" x14ac:dyDescent="0.25">
      <c r="B16" t="s">
        <v>171</v>
      </c>
      <c r="C16" t="s">
        <v>168</v>
      </c>
      <c r="D16" t="s">
        <v>267</v>
      </c>
      <c r="E16" t="s">
        <v>114</v>
      </c>
      <c r="F16" t="s">
        <v>117</v>
      </c>
      <c r="G16" t="s">
        <v>170</v>
      </c>
      <c r="H16" s="16">
        <v>6</v>
      </c>
      <c r="I16" s="16">
        <v>10</v>
      </c>
    </row>
    <row r="17" spans="2:9" x14ac:dyDescent="0.25">
      <c r="B17" t="s">
        <v>180</v>
      </c>
      <c r="C17" t="s">
        <v>177</v>
      </c>
      <c r="D17" t="s">
        <v>267</v>
      </c>
      <c r="E17" t="s">
        <v>172</v>
      </c>
      <c r="F17" t="s">
        <v>117</v>
      </c>
      <c r="G17" t="s">
        <v>179</v>
      </c>
      <c r="H17" s="16">
        <v>19.6</v>
      </c>
      <c r="I17" s="16">
        <v>30.8</v>
      </c>
    </row>
    <row r="18" spans="2:9" x14ac:dyDescent="0.25">
      <c r="B18" t="s">
        <v>184</v>
      </c>
      <c r="C18" t="s">
        <v>181</v>
      </c>
      <c r="D18" t="s">
        <v>267</v>
      </c>
      <c r="E18" t="s">
        <v>172</v>
      </c>
      <c r="F18" t="s">
        <v>117</v>
      </c>
      <c r="G18" t="s">
        <v>183</v>
      </c>
      <c r="H18" s="16">
        <v>5.04</v>
      </c>
      <c r="I18" s="16">
        <v>8.4</v>
      </c>
    </row>
    <row r="19" spans="2:9" x14ac:dyDescent="0.25">
      <c r="B19" t="s">
        <v>188</v>
      </c>
      <c r="C19" t="s">
        <v>185</v>
      </c>
      <c r="D19" t="s">
        <v>267</v>
      </c>
      <c r="E19" t="s">
        <v>133</v>
      </c>
      <c r="F19" t="s">
        <v>117</v>
      </c>
      <c r="G19" t="s">
        <v>187</v>
      </c>
      <c r="H19" s="16">
        <v>8.4</v>
      </c>
      <c r="I19" s="16">
        <v>14</v>
      </c>
    </row>
    <row r="20" spans="2:9" x14ac:dyDescent="0.25">
      <c r="B20" t="s">
        <v>192</v>
      </c>
      <c r="C20" t="s">
        <v>189</v>
      </c>
      <c r="D20" t="s">
        <v>267</v>
      </c>
      <c r="E20" t="s">
        <v>133</v>
      </c>
      <c r="F20" t="s">
        <v>117</v>
      </c>
      <c r="G20" t="s">
        <v>191</v>
      </c>
      <c r="H20" s="16">
        <v>7</v>
      </c>
      <c r="I20" s="16">
        <v>11.2</v>
      </c>
    </row>
    <row r="21" spans="2:9" x14ac:dyDescent="0.25">
      <c r="B21" t="s">
        <v>206</v>
      </c>
      <c r="C21" t="s">
        <v>203</v>
      </c>
      <c r="D21" t="s">
        <v>268</v>
      </c>
      <c r="E21" t="s">
        <v>114</v>
      </c>
      <c r="F21" t="s">
        <v>117</v>
      </c>
      <c r="G21" t="s">
        <v>205</v>
      </c>
      <c r="H21" s="16">
        <v>3</v>
      </c>
      <c r="I21" s="16">
        <v>6</v>
      </c>
    </row>
    <row r="22" spans="2:9" x14ac:dyDescent="0.25">
      <c r="B22" t="s">
        <v>210</v>
      </c>
      <c r="C22" t="s">
        <v>207</v>
      </c>
      <c r="D22" t="s">
        <v>268</v>
      </c>
      <c r="E22" t="s">
        <v>172</v>
      </c>
      <c r="F22" t="s">
        <v>117</v>
      </c>
      <c r="G22" t="s">
        <v>209</v>
      </c>
      <c r="H22" s="16">
        <v>3</v>
      </c>
      <c r="I22" s="16">
        <v>6</v>
      </c>
    </row>
    <row r="23" spans="2:9" x14ac:dyDescent="0.25">
      <c r="B23" t="s">
        <v>214</v>
      </c>
      <c r="C23" t="s">
        <v>211</v>
      </c>
      <c r="D23" t="s">
        <v>268</v>
      </c>
      <c r="E23" t="s">
        <v>133</v>
      </c>
      <c r="F23" t="s">
        <v>117</v>
      </c>
      <c r="G23" t="s">
        <v>213</v>
      </c>
      <c r="H23" s="16">
        <v>3</v>
      </c>
      <c r="I23" s="16">
        <v>6</v>
      </c>
    </row>
    <row r="24" spans="2:9" x14ac:dyDescent="0.25">
      <c r="B24" t="s">
        <v>225</v>
      </c>
      <c r="C24" t="s">
        <v>222</v>
      </c>
      <c r="D24" t="s">
        <v>268</v>
      </c>
      <c r="E24" t="s">
        <v>109</v>
      </c>
      <c r="F24" t="s">
        <v>117</v>
      </c>
      <c r="G24" t="s">
        <v>224</v>
      </c>
      <c r="H24" s="16">
        <v>3.9</v>
      </c>
      <c r="I24" s="16">
        <v>7.8</v>
      </c>
    </row>
    <row r="25" spans="2:9" x14ac:dyDescent="0.25">
      <c r="B25" t="s">
        <v>240</v>
      </c>
      <c r="C25" t="s">
        <v>237</v>
      </c>
      <c r="D25" t="s">
        <v>268</v>
      </c>
      <c r="E25" t="s">
        <v>172</v>
      </c>
      <c r="F25" t="s">
        <v>117</v>
      </c>
      <c r="G25" t="s">
        <v>239</v>
      </c>
      <c r="H25" s="16">
        <v>6</v>
      </c>
      <c r="I25" s="16">
        <v>10</v>
      </c>
    </row>
    <row r="26" spans="2:9" x14ac:dyDescent="0.25">
      <c r="B26" t="s">
        <v>167</v>
      </c>
      <c r="C26" t="s">
        <v>165</v>
      </c>
      <c r="D26" t="s">
        <v>267</v>
      </c>
      <c r="E26" t="s">
        <v>109</v>
      </c>
      <c r="F26" t="s">
        <v>112</v>
      </c>
      <c r="G26" t="s">
        <v>39</v>
      </c>
      <c r="H26" s="16">
        <v>6.55</v>
      </c>
      <c r="I26" s="16">
        <v>13.1</v>
      </c>
    </row>
    <row r="27" spans="2:9" x14ac:dyDescent="0.25">
      <c r="B27" t="s">
        <v>246</v>
      </c>
      <c r="C27" t="s">
        <v>244</v>
      </c>
      <c r="D27" t="s">
        <v>269</v>
      </c>
      <c r="E27" t="s">
        <v>109</v>
      </c>
      <c r="F27" t="s">
        <v>230</v>
      </c>
      <c r="G27" t="s">
        <v>39</v>
      </c>
      <c r="H27" s="16">
        <v>2</v>
      </c>
      <c r="I27" s="16">
        <v>4</v>
      </c>
    </row>
    <row r="28" spans="2:9" x14ac:dyDescent="0.25">
      <c r="B28" t="s">
        <v>231</v>
      </c>
      <c r="C28" t="s">
        <v>228</v>
      </c>
      <c r="D28" t="s">
        <v>268</v>
      </c>
      <c r="E28" t="s">
        <v>109</v>
      </c>
      <c r="F28" t="s">
        <v>230</v>
      </c>
      <c r="G28" t="s">
        <v>39</v>
      </c>
      <c r="H28" s="16">
        <v>4</v>
      </c>
      <c r="I28" s="16">
        <v>8</v>
      </c>
    </row>
    <row r="29" spans="2:9" x14ac:dyDescent="0.25">
      <c r="B29" t="s">
        <v>253</v>
      </c>
      <c r="C29" t="s">
        <v>251</v>
      </c>
      <c r="D29" t="s">
        <v>250</v>
      </c>
      <c r="E29" t="s">
        <v>109</v>
      </c>
      <c r="F29" t="s">
        <v>230</v>
      </c>
      <c r="G29" t="s">
        <v>39</v>
      </c>
      <c r="H29" s="16">
        <v>4</v>
      </c>
      <c r="I29" s="16">
        <v>8</v>
      </c>
    </row>
    <row r="30" spans="2:9" x14ac:dyDescent="0.25">
      <c r="B30" t="s">
        <v>258</v>
      </c>
      <c r="C30" t="s">
        <v>256</v>
      </c>
      <c r="D30" t="s">
        <v>255</v>
      </c>
      <c r="E30" t="s">
        <v>109</v>
      </c>
      <c r="F30" t="s">
        <v>117</v>
      </c>
      <c r="G30" t="s">
        <v>39</v>
      </c>
      <c r="H30" s="16">
        <v>2.88</v>
      </c>
      <c r="I30" s="16">
        <v>5.76</v>
      </c>
    </row>
    <row r="31" spans="3:9" x14ac:dyDescent="0.25">
      <c r="C31" s="38" t="s">
        <v>270</v>
      </c>
      <c r="H31" s="39">
        <f>SUBTOTAL(9,H5:H30)</f>
        <v>158.77</v>
      </c>
      <c r="I31" s="39">
        <f>SUBTOTAL(9,I5:I30)</f>
        <v>279.72</v>
      </c>
    </row>
  </sheetData>
  <autoFilter ref="B4:I30"/>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Dev Backend Estimates</vt:lpstr>
      <vt:lpstr>Dev Mobile Estimates</vt:lpstr>
      <vt:lpstr>Dev Web Estimates</vt:lpstr>
      <vt:lpstr>QA Estimates</vt:lpstr>
      <vt:lpstr>Design Estimates</vt:lpstr>
      <vt:lpstr>Other Estimates</vt:lpstr>
      <vt:lpstr>All Tasks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 Factory</dc:creator>
  <dc:title>Estimation template (styles only)</dc:title>
  <cp:lastModifiedBy>Unknown</cp:lastModifiedBy>
  <dcterms:created xsi:type="dcterms:W3CDTF">2026-09-30T17:16:16Z</dcterms:created>
  <dcterms:modified xsi:type="dcterms:W3CDTF">2026-09-30T17:16:16Z</dcterms:modified>
</cp:coreProperties>
</file>