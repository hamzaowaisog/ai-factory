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Dev Backend Estimates" state="visible" r:id="rId5"/>
    <sheet sheetId="3" name="Dev Mobile Estimates" state="visible" r:id="rId6"/>
    <sheet sheetId="4" name="Dev Web Estimates" state="visible" r:id="rId7"/>
    <sheet sheetId="5" name="QA Estimates" state="visible" r:id="rId8"/>
    <sheet sheetId="6" name="Design Estimates" state="visible" r:id="rId9"/>
    <sheet sheetId="7" name="Other Estimates" state="visible" r:id="rId10"/>
  </sheets>
  <calcPr calcId="171027"/>
</workbook>
</file>

<file path=xl/sharedStrings.xml><?xml version="1.0" encoding="utf-8"?>
<sst xmlns="http://schemas.openxmlformats.org/spreadsheetml/2006/main" count="641" uniqueCount="260">
  <si>
    <t>Folio3 Project Estimation</t>
  </si>
  <si>
    <t>Parts Quick Order</t>
  </si>
  <si>
    <t>Summary of Estimates</t>
  </si>
  <si>
    <t>Client Name</t>
  </si>
  <si>
    <t>Demo Garage</t>
  </si>
  <si>
    <t>Project Manager</t>
  </si>
  <si>
    <t>mhamza</t>
  </si>
  <si>
    <t>Date</t>
  </si>
  <si>
    <t>2026-10-05</t>
  </si>
  <si>
    <t>Version</t>
  </si>
  <si>
    <t>1</t>
  </si>
  <si>
    <t>Efforts (in hours)</t>
  </si>
  <si>
    <t>Task Summary</t>
  </si>
  <si>
    <t>Minimum</t>
  </si>
  <si>
    <t>Maximum</t>
  </si>
  <si>
    <t>Comments</t>
  </si>
  <si>
    <t>Avg</t>
  </si>
  <si>
    <t>Resources</t>
  </si>
  <si>
    <t>Weeks</t>
  </si>
  <si>
    <t>Backend Development Estimates</t>
  </si>
  <si>
    <t>Grand total of the Backend sheet</t>
  </si>
  <si>
    <t>Mobile Development Estimates</t>
  </si>
  <si>
    <t>Grand total of the Mobile sheet</t>
  </si>
  <si>
    <t>Admin Development Estimates</t>
  </si>
  <si>
    <t>Grand total of the Web / Admin sheet</t>
  </si>
  <si>
    <t>QA Estimates</t>
  </si>
  <si>
    <t>Grand total of the QA sheet</t>
  </si>
  <si>
    <t>GD Estimates</t>
  </si>
  <si>
    <t>Other Estimates sheet</t>
  </si>
  <si>
    <t>PM Estimates</t>
  </si>
  <si>
    <t>PDM Estimates</t>
  </si>
  <si>
    <t>Cross-cutting Estimates</t>
  </si>
  <si>
    <t>Other Estimates sheet: deployment, documentation and the like</t>
  </si>
  <si>
    <t>Design Estimates</t>
  </si>
  <si>
    <t>Counted in the total only when Design is switched on below</t>
  </si>
  <si>
    <t>Total</t>
  </si>
  <si>
    <t>List of Special Considerations, where applicable:</t>
  </si>
  <si>
    <t>Tasks</t>
  </si>
  <si>
    <t>Action</t>
  </si>
  <si>
    <t/>
  </si>
  <si>
    <t>Application type (mobile, desktop, web)</t>
  </si>
  <si>
    <t>Backend + Web</t>
  </si>
  <si>
    <t>From the tracks that have work</t>
  </si>
  <si>
    <t>Platforms/OS supported</t>
  </si>
  <si>
    <t>Not specified</t>
  </si>
  <si>
    <t>Confirm with the client</t>
  </si>
  <si>
    <t>Browsers supported</t>
  </si>
  <si>
    <t>Assumed: The latest two versions of Chrome, Edge, Safari and Firefox.</t>
  </si>
  <si>
    <t>Factory assumption ASM-17, confirm with the client</t>
  </si>
  <si>
    <t>Deployment (cloud, dedicated server, enterprise internal network)</t>
  </si>
  <si>
    <t>Performance, Load requirements</t>
  </si>
  <si>
    <t>Assumed: Up to 1,000 users and 100,000 records in the first year.</t>
  </si>
  <si>
    <t>Factory assumption ASM-16, confirm with the client</t>
  </si>
  <si>
    <t>Security requirements</t>
  </si>
  <si>
    <t>Documentation requirements</t>
  </si>
  <si>
    <t>Other custom?</t>
  </si>
  <si>
    <t>No</t>
  </si>
  <si>
    <t>Parameters</t>
  </si>
  <si>
    <t>Include Design in total</t>
  </si>
  <si>
    <t>Yes</t>
  </si>
  <si>
    <t>Hours per week</t>
  </si>
  <si>
    <t>Feedback rounds</t>
  </si>
  <si>
    <t>Stack chosen by</t>
  </si>
  <si>
    <t>client</t>
  </si>
  <si>
    <t>Delivery model</t>
  </si>
  <si>
    <t>Solely agentic</t>
  </si>
  <si>
    <t>API credit cost (USD)</t>
  </si>
  <si>
    <t>Phase</t>
  </si>
  <si>
    <t>Min ($)</t>
  </si>
  <si>
    <t>Max ($)</t>
  </si>
  <si>
    <t>planning</t>
  </si>
  <si>
    <t>design</t>
  </si>
  <si>
    <t>breakdown-estimate</t>
  </si>
  <si>
    <t>build</t>
  </si>
  <si>
    <t>verification</t>
  </si>
  <si>
    <t>API credit cost total</t>
  </si>
  <si>
    <t>Confidence</t>
  </si>
  <si>
    <t>cold-start (6 measured records)</t>
  </si>
  <si>
    <t>Elapsed time</t>
  </si>
  <si>
    <t>Planning (minutes)</t>
  </si>
  <si>
    <t>Build critical path (days)</t>
  </si>
  <si>
    <t>Assumptions</t>
  </si>
  <si>
    <t>Does the 'Place order' button also need the cart to have at least one line, or is that already covered because checkout is hidden when the cart is empty? → assumed: Covered already: checkout is hidden when the cart is empty, and the API also refuses an order with no lines</t>
  </si>
  <si>
    <t>Does placing (or cancelling) an order change the stock quantity in the existing parts database? → assumed: No: stock is read-only and orders never change it</t>
  </si>
  <si>
    <t>What happens when a cart quantity is more than the current stock (or the part is now out of stock) at the moment the buyer presses 'Place order'? → assumed: The API checks stock again, rejects the order, lowers the affected lines to the stock now available with 'Only n available', and keeps the cart</t>
  </si>
  <si>
    <t>Where is the cart kept? → assumed: In the browser's local storage for the signed-in buyer (kept across page reloads on the same device)</t>
  </si>
  <si>
    <t>How does the API find out which buyer is making a request through the existing company login? → assumed: The API checks the existing company login's session token or cookie and reads the buyer ID from it</t>
  </si>
  <si>
    <t>Nothing in this work moves an order to Packed, Dispatched or Delivered (no admin screens, no integrations). How do statuses change after Placed? → assumed: Staff update the status directly in the database, outside this work; the portal only shows it</t>
  </si>
  <si>
    <t>Which unit price is saved on an order line, and what does the order 'total' include? → assumed: The part's current price when the order is placed; total = subtotal + delivery charge</t>
  </si>
  <si>
    <t>How are 'ORD-' + 6-digit order numbers generated? → assumed: Sequential from a database sequence, zero-padded (ORD-000001)</t>
  </si>
  <si>
    <t>Should the delivery prices (£0 / £9.99), the stock thresholds (5) and the page size (20) be fixed in the code or set in configuration? → assumed: Fixed constants in the code</t>
  </si>
  <si>
    <t>What happens if the order's status changes from Placed (e.g. to Packed) after the buyer opened it but before they confirm cancelling? → assumed: The API cancels only if the status is still Placed; otherwise it refuses, shows a message and refreshes the order</t>
  </si>
  <si>
    <t>What happens if placing an order fails (network or server error)? → assumed: Show an error message, keep the cart and checkout details, and let the buyer try again</t>
  </si>
  <si>
    <t>What happens when a quantity is set to 0, left blank, set above 99, or isn't a whole number? → assumed: Set it to the nearest value in range (blank or 0 becomes 1, above 99 becomes 99)</t>
  </si>
  <si>
    <t>What do 'cart count' in the header and 'number of items' in My orders count? → assumed: The total of all quantities (2 filters + 1 pad = 3)</t>
  </si>
  <si>
    <t>How do the parts list filters and sort order work? → assumed: One category and one brand at a time (each with 'All'), brands taken from the parts data, sorted by name A–Z, back to page 1 whenever the search or a filter changes</t>
  </si>
  <si>
    <t>Is the delivery address remembered from the buyer's previous order? → assumed: No: typed fresh for each order</t>
  </si>
  <si>
    <t>Under what conditions is the 2-second load target measured, and how many buyers and orders are expected? → assumed: Up to 1,000 users and 100,000 records in the first year.</t>
  </si>
  <si>
    <t>Which browsers must be supported? → assumed: The latest two versions of Chrome, Edge, Safari and Firefox.</t>
  </si>
  <si>
    <t>Are orders written to the same PostgreSQL database that holds the existing parts? → assumed: Yes: new orders and order-lines tables in the same database, referring to parts by part number</t>
  </si>
  <si>
    <t>Spec question Q-1: If a part in the cart now has 0 stock, what should happen to that cart line? (One rule says the quantity can never go below 1. Another says it can never go above stock.) → Remove the line and show "&lt;part name&gt; is now out of stock" (assumed by the factory, hands-off)</t>
  </si>
  <si>
    <t>Spec question Q-2: If the buyer retries after a network error but the first order was actually saved, how should we stop the order being placed twice? → Disable "Place order" while a request is in progress, and on a network error tell the buyer to check My orders before retrying (assumed by the factory, hands-off)</t>
  </si>
  <si>
    <t>Spec question Q-3: The cart keeps a saved copy of each price, but orders are charged at the current price. How should the cart handle a price that has changed? → Fetch the current prices from the parts API when the cart opens, and show only those (assumed by the factory, hands-off)</t>
  </si>
  <si>
    <t>Spec question Q-4: Should the spec keep a separate requirement that the API rejects requests with no valid company-login session (status 401)? The request doesn't mention this. → Leave it out and rely on the existing company login as-is (assumed by the factory, hands-off)</t>
  </si>
  <si>
    <t>Spec question Q-5: When the cart opens and the request to the parts API for current prices fails (network or server error), what should the cart show and allow? The saved prices must never be shown. → Show the cart lines without prices or totals, show an error message with a "Try again" button, and hide checkout until current prices load (assumed by the factory, hands-off)</t>
  </si>
  <si>
    <t>Open risk: ASM-26 and AC-41.1 need GET /api/parts filtered to the cart's part numbers in a single call, but REQ-2/4/5 and ASM-19 only define q (at least 2 characters, substring match), category, brand and page, so no defined parameter can fetch exactly the cart's parts.</t>
  </si>
  <si>
    <t>Open risk: When the cart opens, only lines whose part now has 0 stock are handled; a line whose stock has dropped but is still above 0 (cart quantity 5, stock now 2) is left unclamped until the 409 at Place order, and REQ-14's clamp only runs when the buyer edits the quantity.</t>
  </si>
  <si>
    <t>Open risk: The order is charged at the server's current price, but the price can change between cart refresh and Place order; nothing says the buyer is told or asked to confirm, so the saved total can differ from the total on screen (payments risk).</t>
  </si>
  <si>
    <t>Gate time, cost and duration are assumed figures, labelled cold-start until the ledger has measured runs.</t>
  </si>
  <si>
    <t>Split before the build: EST-2, EST-5, EST-8, EST-19 (agent work over 16 h or very large is split into smaller tasks; the hours stay as estimated).</t>
  </si>
  <si>
    <t>Development Estimates for Parts Quick Order</t>
  </si>
  <si>
    <t>by mhamza</t>
  </si>
  <si>
    <t>Grand Total (in hours)</t>
  </si>
  <si>
    <t>Sum of development, other activities and research efforts.</t>
  </si>
  <si>
    <t>S.No</t>
  </si>
  <si>
    <t>Task</t>
  </si>
  <si>
    <t>Executor</t>
  </si>
  <si>
    <t>Requirement id(s)</t>
  </si>
  <si>
    <t>Task id</t>
  </si>
  <si>
    <t>Portal shell, sign-in wiring, navigation, accessibility and responsive layout</t>
  </si>
  <si>
    <t>Buyer identity from the existing company login session</t>
  </si>
  <si>
    <t>check the existing company login's session token or cookie on every API request; read the buyer ID from the session and pass it to the parts and orders APIs; expose the buyer ID to the portal for the per-buyer cart key; human step: get access to and details of the company login session format</t>
  </si>
  <si>
    <t>Joint</t>
  </si>
  <si>
    <t>REQ-27</t>
  </si>
  <si>
    <t>EST-2</t>
  </si>
  <si>
    <t>Environments, CI/CD and monitoring</t>
  </si>
  <si>
    <t>Environment and pipeline setup; delivers no requirement directly</t>
  </si>
  <si>
    <t>EST-19</t>
  </si>
  <si>
    <t>Find parts (search, filters, paging, stock state, add to cart)</t>
  </si>
  <si>
    <t>GET /api/parts: search, filters, paging, stock state</t>
  </si>
  <si>
    <t>sorted by name A–Z, 20 per page (fixed constant), page parameter, total count; fields: image (or null), name, partNumber, brand, price in GBP with 2 decimals, stockState, stock as a whole number; stockState: "In stock" at 5 or more, "Low stock (n left)" at 1–4, "Out of stock" at 0; q: case-insensitive contains on name or part number, applied only at 2+ characters; category and brand filters, one each, "All" means no filter, combined with q; no match returns 200 with an empty list and total 0; p95 under 500 ms with 5,000 parts</t>
  </si>
  <si>
    <t>Factory</t>
  </si>
  <si>
    <t>REQ-2, REQ-3, REQ-4, REQ-5, REQ-7, REQ-38</t>
  </si>
  <si>
    <t>EST-3</t>
  </si>
  <si>
    <t>GET /api/parts/brands: brand list from parts data</t>
  </si>
  <si>
    <t>distinct brands taken from the parts data, sorted</t>
  </si>
  <si>
    <t>REQ-5</t>
  </si>
  <si>
    <t>EST-4</t>
  </si>
  <si>
    <t>Checkout and placing an order</t>
  </si>
  <si>
    <t>Data model: orders, order lines, order number sequence, parts indexes and seed data</t>
  </si>
  <si>
    <t>orders table in the existing PostgreSQL database: buyer ID, order number, date placed, delivery address, delivery option (STANDARD/NEXT_DAY), total, status; order_lines table: order, part number (refers to parts by part number), quantity, unit price; status values Placed, Packed, Dispatched, Delivered, Cancelled; database sequence for ORD- + 6 zero-padded digits (ORD-000001); indexes on orders (buyer ID, date placed, status) for 100,000 records; indexes on parts name / part number / category / brand for search with 5,000 parts; seed of 5,000 parts for performance testing; migrations</t>
  </si>
  <si>
    <t>REQ-20, REQ-28, REQ-38</t>
  </si>
  <si>
    <t>EST-1</t>
  </si>
  <si>
    <t>Orders API: create with validation, list, detail, scoped to the buyer</t>
  </si>
  <si>
    <t>POST /api/orders returns 201 with orderNumber, status Placed, total; 400 with an error field naming the input for: no lines, quantity outside 1–99, unknown part number, address outside 5–200 characters, missing or unknown delivery option; no order saved; GET /api/orders: only the buyer's orders, newest first, with orderNumber, datePlaced, itemCount (total of quantities), total, status; GET /api/orders?status=: status filter; empty list with 200 when the buyer has no orders; GET /api/orders/{orderNumber}: lines (part number, name, quantity, unit price), address, delivery option, total, status; 404 for another buyer's order</t>
  </si>
  <si>
    <t>REQ-20, REQ-21, REQ-27, REQ-28, REQ-29, REQ-30, REQ-35</t>
  </si>
  <si>
    <t>EST-5</t>
  </si>
  <si>
    <t>Order rules: pricing, totals, numbering, stock check, cancel state machine</t>
  </si>
  <si>
    <t>unit price = the part's current price when placed; any price sent by the client is ignored; total = subtotal + delivery charge (Standard £0.00, Next day £9.99, fixed constants); sequential order number ORD-000001, ORD-000002 … from the sequence; stock check at placement: 409 listing each affected part number with available stock; no order saved (transaction); stock quantity in parts never changed on place or cancel; POST /api/orders/{orderNumber}/cancel: sets Cancelled and returns 200 only if still Placed (conditional update); 409 with an error message when no longer Placed, status left unchanged; 404 when cancelling another buyer's order</t>
  </si>
  <si>
    <t>REQ-20, REQ-22, REQ-25, REQ-27, REQ-33, REQ-34</t>
  </si>
  <si>
    <t>EST-6</t>
  </si>
  <si>
    <t>Development Total Efforts (in hours)</t>
  </si>
  <si>
    <t>Other Development Activities</t>
  </si>
  <si>
    <t>None</t>
  </si>
  <si>
    <t>Post Development Activities Total Efforts (in hours)</t>
  </si>
  <si>
    <t>Research Task (if any)</t>
  </si>
  <si>
    <t>No research task in this estimate</t>
  </si>
  <si>
    <t>Research Total Efforts (in hours)</t>
  </si>
  <si>
    <t>Assumptions &amp; Constraints</t>
  </si>
  <si>
    <t>Risks</t>
  </si>
  <si>
    <t>Estimates will increase in case of change in requirement</t>
  </si>
  <si>
    <t>Not in scope: no work in this estimate</t>
  </si>
  <si>
    <t>Web app shell: routes, header with links and cart count, layout, session wiring</t>
  </si>
  <si>
    <t>routes /parts, /cart, /orders (exactly three screens); header links to the other two screens on each screen; header cart count = total of all quantities, updated live without reload; company login session wiring and buyer ID; responsive layout with no horizontal scroll at 360, 768, 1280 px; visible focus styles and keyboard navigation; shared GBP formatter (£ with 2 decimals), English-only copy; shared toast and inline alert components; error page / unknown route</t>
  </si>
  <si>
    <t>REQ-1, REQ-9, REQ-36, REQ-37</t>
  </si>
  <si>
    <t>EST-7</t>
  </si>
  <si>
    <t>Production release</t>
  </si>
  <si>
    <t>Production launch; delivers no requirement directly</t>
  </si>
  <si>
    <t>EST-20</t>
  </si>
  <si>
    <t>Find parts screen (S-1)</t>
  </si>
  <si>
    <t>search box by name or part number with hint "Type at least 2 characters…"; Category and Brand filters, one each with All; brands loaded from /api/parts/brands; result rows: image, name, part no., brand, £ price, stock badge in text; Previous/Next page with "page x of y" and count; back to page 1 when search or filter changes; Add to cart button, disabled for out-of-stock parts; header count bumps after add; Go to cart (n) link; states: loading skeleton rows, empty "No parts match" with Clear search and filters button, error with Try again, low stock badge, added confirmation; first page shown within 2 s with 5,000 parts</t>
  </si>
  <si>
    <t>REQ-2, REQ-3, REQ-4, REQ-5, REQ-6, REQ-7, REQ-8, REQ-9, REQ-10, REQ-38</t>
  </si>
  <si>
    <t>EST-9</t>
  </si>
  <si>
    <t>Cart (lines, quantities, local storage, live price and stock refresh)</t>
  </si>
  <si>
    <t>Cart and checkout screen (S-2), part 1: cart lines and CartStore</t>
  </si>
  <si>
    <t>CartStore kept in local storage under the signed-in buyer's ID; addPart: add a line with quantity 1 or add 1 to it; nothing for out-of-stock parts; capped at stock with "Only n available"; cart table: part, part no., unit price, editable quantity, line total, Remove; line total = unit price × quantity; line and order totals recalculated at once; quantity correction: blank/0 → 1, above 99 → 99, decimals rounded; quantity above stock set to stock with "Only n available" next to the line; removeLine and count(); refresh on open: fetch current prices and stock from the parts API; use only current prices; line with 0 stock removed with "&lt;part name&gt; is now out of stock" alert; price fetch failure: lines without prices or totals, error message, Try again, checkout hidden; applyStockLimits for a 409: lower lines to available stock, remove lines with 0 available, keep other lines; states: loading prices, empty "Your cart is empty" with link to Find parts and checkout hidden; unit tests for CartStore acceptance criteria</t>
  </si>
  <si>
    <t>REQ-8, REQ-10, REQ-11, REQ-12, REQ-13, REQ-14, REQ-15, REQ-16, REQ-17, REQ-39, REQ-41, REQ-42, REQ-43</t>
  </si>
  <si>
    <t>EST-8</t>
  </si>
  <si>
    <t>Cart and checkout screen (S-2), part 2: checkout form and placing the order</t>
  </si>
  <si>
    <t>Delivery address textarea, 5–200 characters, empty each time, with label and error "Enter a delivery address of 5 to 200 characters"; Delivery option radio Standard · £0.00 / Next day · £9.99 with error "Choose Standard or Next day"; Order summary: items, subtotal, delivery charge, total; CheckoutForm.canPlaceOrder: Place order enabled only with a valid address and an option chosen; startSubmit/finishSubmit: Place order disabled while the request runs; exactly one POST; success: show the new order number, empty the cart, link to My orders; 409 conflict: apply stock limits to the cart and show messages; network error toast "Connection lost. Check My orders before you try again."; cart, address and option kept; server error toast "Order not placed: server error. Your cart and details are kept."; unit tests for CheckoutForm</t>
  </si>
  <si>
    <t>REQ-18, REQ-19, REQ-20, REQ-21, REQ-22, REQ-23, REQ-24, REQ-39, REQ-40</t>
  </si>
  <si>
    <t>EST-10</t>
  </si>
  <si>
    <t>My orders (list, status filter, detail panel, timeline, cancel)</t>
  </si>
  <si>
    <t>My orders screen (S-3), part 1: orders table with status filter</t>
  </si>
  <si>
    <t>table: order, placed date, items, total, status (text), newest first; status filter chips: All statuses, Placed, Packed, Dispatched, Delivered, Cancelled; View order opens the detail panel on the same /orders page (Enter key); states: loading skeleton rows, empty "No orders yet" with link to Find parts, filtered empty, error with Try again</t>
  </si>
  <si>
    <t>REQ-1, REQ-28, REQ-29, REQ-35</t>
  </si>
  <si>
    <t>EST-11</t>
  </si>
  <si>
    <t>My orders screen (S-3), part 2: order detail drawer, timeline and cancel</t>
  </si>
  <si>
    <t>drawer overlay: order number, date placed, lines (part number, name, qty, unit price, amount), delivery address, delivery option, total, status; timeline Placed → Packed → Dispatched → Delivered with the current step marked by text as well as colour; Cancel order button only while Placed; confirm dialog "Cancel ORD-…?" with Yes, cancel order / Keep order; no request sent when kept; success toast; status becomes Cancelled and the button is hidden; 409 refusal toast "Couldn't cancel: … has already been packed.", panel refreshes; focus handling for drawer and dialog by keyboard</t>
  </si>
  <si>
    <t>REQ-1, REQ-30, REQ-31, REQ-32, REQ-33, REQ-34</t>
  </si>
  <si>
    <t>EST-12</t>
  </si>
  <si>
    <t>QA Estimates for Parts Quick Order</t>
  </si>
  <si>
    <t>Grand Total Efforts (in hours)</t>
  </si>
  <si>
    <t>Sum of QA and Misc.</t>
  </si>
  <si>
    <t>Estimation Summary</t>
  </si>
  <si>
    <t>Test Plan/Strategy</t>
  </si>
  <si>
    <t>Test planning, with the test plan, strategy and traceability matrix as outputs. Not sized in this estimate</t>
  </si>
  <si>
    <t>Set up of Test Environments</t>
  </si>
  <si>
    <t>Setting up code and white box test environments. Not sized in this estimate</t>
  </si>
  <si>
    <t>Validation and Smoke test cases</t>
  </si>
  <si>
    <t>Test cases to execute while debugging and white box testing</t>
  </si>
  <si>
    <t>Test cases: Find parts, including performance</t>
  </si>
  <si>
    <t>API cases AC-2.x, AC-3.x, AC-4.x, AC-5.x, AC-7.1; manual cases AC-6.1, AC-7.2, AC-9.2, AC-10.2; AC-38.1 p95 under 500 ms with 5,000 parts; AC-38.2 first page within 2 s; NFR-1 load check at 1,000 concurrent users</t>
  </si>
  <si>
    <t>EST-14</t>
  </si>
  <si>
    <t>Test cases: Cart</t>
  </si>
  <si>
    <t>manual cases AC-12.2, AC-14.2, AC-17.1, AC-41.2, AC-43.4, AC-43.5; check that unit cases for CartStore are covered</t>
  </si>
  <si>
    <t>REQ-11, REQ-12, REQ-13, REQ-14, REQ-15, REQ-16, REQ-17, REQ-39, REQ-41, REQ-42, REQ-43</t>
  </si>
  <si>
    <t>EST-15</t>
  </si>
  <si>
    <t>Test cases: Checkout and placing orders</t>
  </si>
  <si>
    <t>API cases AC-20.x, AC-21.x, AC-22.1, AC-25.1; manual cases AC-18.3, AC-23.1, AC-24.1, AC-24.2, AC-40.3</t>
  </si>
  <si>
    <t>REQ-18, REQ-19, REQ-20, REQ-21, REQ-22, REQ-23, REQ-24, REQ-25, REQ-40</t>
  </si>
  <si>
    <t>EST-16</t>
  </si>
  <si>
    <t>Test cases: My orders</t>
  </si>
  <si>
    <t>API cases AC-27.x, AC-28.1, AC-29.1, AC-30.1, AC-33.1, AC-34.1, AC-35.1; manual cases AC-31.1, AC-32.1, AC-32.2, AC-34.2, AC-35.2</t>
  </si>
  <si>
    <t>REQ-27, REQ-28, REQ-29, REQ-30, REQ-31, REQ-32, REQ-33, REQ-34, REQ-35</t>
  </si>
  <si>
    <t>EST-17</t>
  </si>
  <si>
    <t>Validation testing</t>
  </si>
  <si>
    <t>Testing cycles; the detail is below</t>
  </si>
  <si>
    <t>Testing Cycle 1</t>
  </si>
  <si>
    <t>Smoke testing</t>
  </si>
  <si>
    <t>Smoke testing after each deployment, including preparation. Not sized in this estimate</t>
  </si>
  <si>
    <t>Multi Browser Compatibility testing</t>
  </si>
  <si>
    <t>Browser, OS and device compatibility</t>
  </si>
  <si>
    <t>Test cases: navigation, accessibility, responsive layout, browsers</t>
  </si>
  <si>
    <t>AC-1.1, AC-1.2; AC-36.1 at 360/768/1280 px on the latest 2 versions of Chrome, Edge, Safari, Firefox; AC-37.1 keyboard-only run with a screen reader; axe scan of each screen: 0 serious or critical violations; stock and status indicators carry text</t>
  </si>
  <si>
    <t>REQ-1, REQ-36, REQ-37</t>
  </si>
  <si>
    <t>EST-13</t>
  </si>
  <si>
    <t>UAT</t>
  </si>
  <si>
    <t>Client user acceptance testing support</t>
  </si>
  <si>
    <t>Client acceptance testing</t>
  </si>
  <si>
    <t>Client UAT of the finished portal; delivers no requirement directly</t>
  </si>
  <si>
    <t>Human</t>
  </si>
  <si>
    <t>EST-21</t>
  </si>
  <si>
    <t>Misc. Optional testing</t>
  </si>
  <si>
    <t>Other testing named in the breakdown, and supervisor gate time. Not sized in this estimate</t>
  </si>
  <si>
    <t>Total QA Efforts</t>
  </si>
  <si>
    <t>Total hours of QA</t>
  </si>
  <si>
    <t>Validation Testing</t>
  </si>
  <si>
    <t>Automated end-to-end test: search to order to cancel</t>
  </si>
  <si>
    <t>search and filter, add to cart, header count updates; change quantity, enter address, choose delivery, place order, order number shown, cart emptied; open the order in My orders, cancel with confirmation, status Cancelled</t>
  </si>
  <si>
    <t>REQ-4, REQ-5, REQ-8, REQ-9, REQ-18, REQ-20, REQ-23, REQ-28, REQ-30, REQ-32, REQ-33</t>
  </si>
  <si>
    <t>EST-18</t>
  </si>
  <si>
    <t>Total Testing Cycle 1</t>
  </si>
  <si>
    <t>Sum of testing cycle 1</t>
  </si>
  <si>
    <t>Design Estimates for Parts Quick Order</t>
  </si>
  <si>
    <t>Other Estimates for Parts Quick Order</t>
  </si>
  <si>
    <t>GD</t>
  </si>
  <si>
    <t>GD TOTAL</t>
  </si>
  <si>
    <t>PM</t>
  </si>
  <si>
    <t>Project management</t>
  </si>
  <si>
    <t>Project management across the build; delivers no requirement directly</t>
  </si>
  <si>
    <t>EST-22</t>
  </si>
  <si>
    <t>PM TOTAL</t>
  </si>
  <si>
    <t>PDM</t>
  </si>
  <si>
    <t>Handover notes</t>
  </si>
  <si>
    <t>Documentation for the client's team; delivers no requirement directly</t>
  </si>
  <si>
    <t>EST-23</t>
  </si>
  <si>
    <t>PDM TOTAL</t>
  </si>
  <si>
    <t>Cross-cutting</t>
  </si>
  <si>
    <t>Cross-cutting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</si>
</sst>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17" x14ac:knownFonts="1">
    <font>
      <color theme="1"/>
      <family val="2"/>
      <scheme val="minor"/>
      <sz val="11"/>
      <name val="Calibri"/>
    </font>
    <font>
      <color rgb="FF595959"/>
      <sz val="11"/>
      <name val="Calibri"/>
    </font>
    <font>
      <b/>
      <color theme="0"/>
      <sz val="16"/>
      <name val="Calibri"/>
    </font>
    <font>
      <b/>
      <color theme="1"/>
      <sz val="11"/>
      <name val="Calibri"/>
    </font>
    <font>
      <color rgb="FF000000"/>
      <sz val="11"/>
      <name val="Calibri"/>
    </font>
    <font>
      <i/>
      <color rgb="FF7F7F7F"/>
      <sz val="11"/>
      <name val="Calibri"/>
    </font>
    <font>
      <b/>
      <color theme="0"/>
      <sz val="11"/>
      <name val="Calibri"/>
    </font>
    <font>
      <color theme="1"/>
      <scheme val="minor"/>
      <name val="Arial"/>
    </font>
    <font>
      <color theme="1"/>
      <sz val="11"/>
      <name val="Calibri"/>
    </font>
    <font>
      <i/>
      <color theme="1"/>
      <sz val="11"/>
      <name val="Calibri"/>
    </font>
    <font>
      <b/>
    </font>
    <font>
      <color rgb="FFFFFFFF"/>
      <sz val="18"/>
      <name val="Calibri"/>
    </font>
    <font>
      <color rgb="FF000000"/>
      <sz val="14"/>
      <name val="Calibri"/>
    </font>
    <font>
      <b/>
      <color theme="1"/>
      <sz val="14"/>
      <name val="Calibri"/>
    </font>
    <font>
      <b/>
      <color rgb="FFFFFFFF"/>
      <sz val="11"/>
      <name val="Calibri"/>
    </font>
    <font>
      <b/>
      <color rgb="FF3F3F3F"/>
      <sz val="11"/>
      <name val="Calibri"/>
    </font>
    <font>
      <i/>
    </font>
  </fonts>
  <fills count="4">
    <fill>
      <patternFill patternType="none"/>
    </fill>
    <fill>
      <patternFill patternType="gray125"/>
    </fill>
    <fill>
      <patternFill patternType="solid">
        <fgColor rgb="FF7F7F7F"/>
        <bgColor rgb="FF7F7F7F"/>
      </patternFill>
    </fill>
    <fill>
      <patternFill patternType="solid">
        <fgColor rgb="FFF2F2F2"/>
        <bgColor rgb="FFF2F2F2"/>
      </patternFill>
    </fill>
  </fills>
  <borders count="3">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7">
    <xf numFmtId="0" fontId="0" fillId="0" borderId="0" xfId="0"/>
    <xf numFmtId="0" fontId="1" fillId="0" borderId="0" xfId="0" applyFont="1"/>
    <xf numFmtId="0" fontId="2" fillId="2" borderId="0" xfId="0" applyFont="1" applyFill="1" applyAlignment="1">
      <alignment horizontal="center"/>
    </xf>
    <xf numFmtId="0" fontId="3" fillId="0" borderId="0" xfId="0" applyFont="1"/>
    <xf numFmtId="0" fontId="4" fillId="0" borderId="0" xfId="0" applyFont="1" applyAlignment="1">
      <alignment horizontal="left"/>
    </xf>
    <xf numFmtId="0" fontId="5" fillId="0" borderId="1" xfId="0" applyFont="1" applyBorder="1" applyAlignment="1">
      <alignment horizontal="center"/>
    </xf>
    <xf numFmtId="0" fontId="6" fillId="2" borderId="2" xfId="0" applyFont="1" applyFill="1" applyBorder="1" applyAlignment="1">
      <alignment horizontal="center"/>
    </xf>
    <xf numFmtId="0" fontId="6" fillId="2" borderId="2" xfId="0" applyFont="1" applyFill="1" applyBorder="1"/>
    <xf numFmtId="0" fontId="7" fillId="0" borderId="0" xfId="0" applyFont="1" applyAlignment="1">
      <alignment readingOrder="1"/>
    </xf>
    <xf numFmtId="0" fontId="8" fillId="0" borderId="2" xfId="0" applyFont="1" applyBorder="1" applyAlignment="1">
      <alignment readingOrder="1"/>
    </xf>
    <xf numFmtId="2" fontId="4" fillId="0" borderId="2" xfId="0" applyNumberFormat="1" applyFont="1" applyBorder="1"/>
    <xf numFmtId="0" fontId="8" fillId="0" borderId="2" xfId="0" applyFont="1" applyBorder="1"/>
    <xf numFmtId="2" fontId="8" fillId="0" borderId="0" xfId="0" applyNumberFormat="1" applyFont="1"/>
    <xf numFmtId="2" fontId="8" fillId="0" borderId="0" xfId="0" applyNumberFormat="1" applyFont="1" applyAlignment="1">
      <alignment readingOrder="1"/>
    </xf>
    <xf numFmtId="2" fontId="8" fillId="0" borderId="2" xfId="0" applyNumberFormat="1" applyFont="1" applyBorder="1"/>
    <xf numFmtId="0" fontId="9" fillId="0" borderId="2" xfId="0" applyFont="1" applyBorder="1" applyAlignment="1">
      <alignment horizontal="left"/>
    </xf>
    <xf numFmtId="2" fontId="0" fillId="0" borderId="0" xfId="0" applyNumberFormat="1"/>
    <xf numFmtId="2" fontId="10" fillId="0" borderId="0" xfId="0" applyNumberFormat="1" applyFont="1"/>
    <xf numFmtId="0" fontId="11" fillId="2" borderId="0" xfId="0" applyFont="1" applyFill="1" applyAlignment="1">
      <alignment horizontal="center" vertical="center"/>
    </xf>
    <xf numFmtId="164" fontId="12" fillId="0" borderId="0" xfId="0" applyNumberFormat="1" applyFont="1" applyAlignment="1">
      <alignment horizontal="center" vertical="center" readingOrder="1"/>
    </xf>
    <xf numFmtId="0" fontId="12" fillId="0" borderId="0" xfId="0" applyFont="1" applyAlignment="1">
      <alignment horizontal="center" vertical="center" readingOrder="1"/>
    </xf>
    <xf numFmtId="0" fontId="13" fillId="0" borderId="0" xfId="0" applyFont="1" applyAlignment="1">
      <alignment horizontal="right" vertical="center"/>
    </xf>
    <xf numFmtId="2" fontId="13" fillId="0" borderId="0" xfId="0" applyNumberFormat="1" applyFont="1" applyAlignment="1">
      <alignment vertical="center"/>
    </xf>
    <xf numFmtId="0" fontId="8" fillId="0" borderId="0" xfId="0" applyFont="1" applyAlignment="1">
      <alignment vertical="center"/>
    </xf>
    <xf numFmtId="0" fontId="6" fillId="2" borderId="2" xfId="0" applyFont="1" applyFill="1" applyBorder="1" applyAlignment="1">
      <alignment vertical="center"/>
    </xf>
    <xf numFmtId="0" fontId="14" fillId="2" borderId="2" xfId="0" applyFont="1" applyFill="1" applyBorder="1" applyAlignment="1">
      <alignment horizontal="center" vertical="center"/>
    </xf>
    <xf numFmtId="0" fontId="6" fillId="2" borderId="2" xfId="0" applyFont="1" applyFill="1" applyBorder="1" applyAlignment="1">
      <alignment vertical="center" wrapText="1"/>
    </xf>
    <xf numFmtId="0" fontId="15" fillId="3" borderId="2" xfId="0" applyFont="1" applyFill="1" applyBorder="1" applyAlignment="1">
      <alignment horizontal="right"/>
    </xf>
    <xf numFmtId="0" fontId="15" fillId="3" borderId="2" xfId="0" applyFont="1" applyFill="1" applyBorder="1" applyAlignment="1">
      <alignment readingOrder="1"/>
    </xf>
    <xf numFmtId="2" fontId="15" fillId="3" borderId="2" xfId="0" applyNumberFormat="1" applyFont="1" applyFill="1" applyBorder="1" applyAlignment="1">
      <alignment horizontal="right"/>
    </xf>
    <xf numFmtId="0" fontId="8" fillId="3" borderId="2" xfId="0" applyFont="1" applyFill="1" applyBorder="1"/>
    <xf numFmtId="0" fontId="4" fillId="0" borderId="2" xfId="0" applyFont="1" applyBorder="1" applyAlignment="1">
      <alignment readingOrder="1"/>
    </xf>
    <xf numFmtId="2" fontId="4" fillId="0" borderId="2" xfId="0" applyNumberFormat="1" applyFont="1" applyBorder="1" applyAlignment="1">
      <alignment horizontal="right" readingOrder="1"/>
    </xf>
    <xf numFmtId="0" fontId="15" fillId="3" borderId="2" xfId="0" applyFont="1" applyFill="1" applyBorder="1" applyAlignment="1">
      <alignment horizontal="right" vertical="center"/>
    </xf>
    <xf numFmtId="2" fontId="15" fillId="3" borderId="2" xfId="0" applyNumberFormat="1" applyFont="1" applyFill="1" applyBorder="1" applyAlignment="1">
      <alignment vertical="center"/>
    </xf>
    <xf numFmtId="0" fontId="15" fillId="3" borderId="2" xfId="0" applyFont="1" applyFill="1" applyBorder="1" applyAlignment="1">
      <alignment vertical="center"/>
    </xf>
    <xf numFmtId="0" fontId="1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97"/>
  <sheetFormatPr defaultRowHeight="15" outlineLevelRow="0" outlineLevelCol="0" x14ac:dyDescent="55"/>
  <cols>
    <col min="1" max="1" width="7.75" customWidth="1"/>
    <col min="2" max="2" width="33.13" customWidth="1"/>
    <col min="3" max="3" width="9.88" customWidth="1"/>
    <col min="4" max="4" width="10.63" customWidth="1"/>
    <col min="5" max="5" width="42.38" customWidth="1"/>
    <col min="6" max="6" width="7.75" customWidth="1"/>
    <col min="7" max="7" width="8" customWidth="1"/>
    <col min="8" max="10" width="12" customWidth="1"/>
  </cols>
  <sheetData>
    <row r="1" spans="2:2" x14ac:dyDescent="0.25">
      <c r="B1" s="1" t="s">
        <v>0</v>
      </c>
    </row>
    <row r="2" spans="2:5" x14ac:dyDescent="0.25">
      <c r="B2" s="2" t="s">
        <v>1</v>
      </c>
      <c r="C2" s="2"/>
      <c r="D2" s="2"/>
      <c r="E2" s="2"/>
    </row>
    <row r="3" spans="2:5" x14ac:dyDescent="0.25">
      <c r="B3" s="2" t="s">
        <v>2</v>
      </c>
      <c r="C3" s="2"/>
      <c r="D3" s="2"/>
      <c r="E3" s="2"/>
    </row>
    <row r="5" spans="2:3" x14ac:dyDescent="0.25">
      <c r="B5" s="3" t="s">
        <v>3</v>
      </c>
      <c r="C5" s="4" t="s">
        <v>4</v>
      </c>
    </row>
    <row r="6" spans="2:3" x14ac:dyDescent="0.25">
      <c r="B6" s="3" t="s">
        <v>5</v>
      </c>
      <c r="C6" s="4" t="s">
        <v>6</v>
      </c>
    </row>
    <row r="7" spans="2:3" x14ac:dyDescent="0.25">
      <c r="B7" s="3" t="s">
        <v>7</v>
      </c>
      <c r="C7" s="4" t="s">
        <v>8</v>
      </c>
    </row>
    <row r="8" spans="2:3" x14ac:dyDescent="0.25">
      <c r="B8" s="3" t="s">
        <v>9</v>
      </c>
      <c r="C8" s="4" t="s">
        <v>10</v>
      </c>
    </row>
    <row r="9" spans="3:4" x14ac:dyDescent="0.25">
      <c r="C9" s="5" t="s">
        <v>11</v>
      </c>
      <c r="D9" s="5"/>
    </row>
    <row r="10" spans="2:10" x14ac:dyDescent="0.25">
      <c r="B10" s="6" t="s">
        <v>12</v>
      </c>
      <c r="C10" s="7" t="s">
        <v>13</v>
      </c>
      <c r="D10" s="7" t="s">
        <v>14</v>
      </c>
      <c r="E10" s="7" t="s">
        <v>15</v>
      </c>
      <c r="H10" s="8" t="s">
        <v>16</v>
      </c>
      <c r="I10" s="8" t="s">
        <v>17</v>
      </c>
      <c r="J10" s="8" t="s">
        <v>18</v>
      </c>
    </row>
    <row r="11" spans="2:10" x14ac:dyDescent="0.25">
      <c r="B11" s="9" t="s">
        <v>19</v>
      </c>
      <c r="C11" s="10">
        <f>'Dev Backend Estimates'!D6</f>
        <v>25.58</v>
      </c>
      <c r="D11" s="10">
        <f>'Dev Backend Estimates'!E6</f>
        <v>42.81</v>
      </c>
      <c r="E11" s="11" t="s">
        <v>20</v>
      </c>
      <c r="H11" s="12">
        <f>ROUND((C11+D11)/2,2)</f>
        <v>34.2</v>
      </c>
      <c r="I11" s="13">
        <v>1</v>
      </c>
      <c r="J11" s="12">
        <f>ROUND(H11/($C$48*I11),2)</f>
        <v>0.86</v>
      </c>
    </row>
    <row r="12" spans="2:10" x14ac:dyDescent="0.25">
      <c r="B12" s="9" t="s">
        <v>21</v>
      </c>
      <c r="C12" s="10">
        <f>'Dev Mobile Estimates'!D6</f>
        <v>0</v>
      </c>
      <c r="D12" s="10">
        <f>'Dev Mobile Estimates'!E6</f>
        <v>0</v>
      </c>
      <c r="E12" s="11" t="s">
        <v>22</v>
      </c>
      <c r="H12" s="12">
        <f>ROUND((C12+D12)/2,2)</f>
        <v>0</v>
      </c>
      <c r="I12" s="13">
        <v>1</v>
      </c>
      <c r="J12" s="12">
        <f>ROUND(H12/($C$48*I12),2)</f>
        <v>0</v>
      </c>
    </row>
    <row r="13" spans="2:10" x14ac:dyDescent="0.25">
      <c r="B13" s="9" t="s">
        <v>23</v>
      </c>
      <c r="C13" s="10">
        <f>'Dev Web Estimates'!D6</f>
        <v>4.68</v>
      </c>
      <c r="D13" s="10">
        <f>'Dev Web Estimates'!E6</f>
        <v>9.36</v>
      </c>
      <c r="E13" s="11" t="s">
        <v>24</v>
      </c>
      <c r="H13" s="12">
        <f>ROUND((C13+D13)/2,2)</f>
        <v>7.02</v>
      </c>
      <c r="I13" s="13">
        <v>1</v>
      </c>
      <c r="J13" s="12">
        <f>ROUND(H13/($C$48*I13),2)</f>
        <v>0.18</v>
      </c>
    </row>
    <row r="14" spans="2:10" x14ac:dyDescent="0.25">
      <c r="B14" s="9" t="s">
        <v>25</v>
      </c>
      <c r="C14" s="10">
        <f>'QA Estimates'!D6</f>
        <v>4</v>
      </c>
      <c r="D14" s="10">
        <f>'QA Estimates'!E6</f>
        <v>8</v>
      </c>
      <c r="E14" s="11" t="s">
        <v>26</v>
      </c>
      <c r="H14" s="12">
        <f>ROUND((C14+D14)/2,2)</f>
        <v>6</v>
      </c>
      <c r="I14" s="13">
        <v>1</v>
      </c>
      <c r="J14" s="12">
        <f>ROUND(H14/($C$48*I14),2)</f>
        <v>0.15</v>
      </c>
    </row>
    <row r="15" spans="2:10" x14ac:dyDescent="0.25">
      <c r="B15" s="9" t="s">
        <v>27</v>
      </c>
      <c r="C15" s="10">
        <f>'Other Estimates'!D10</f>
        <v>0</v>
      </c>
      <c r="D15" s="10">
        <f>'Other Estimates'!E10</f>
        <v>0</v>
      </c>
      <c r="E15" s="11" t="s">
        <v>28</v>
      </c>
      <c r="H15" s="12">
        <f>ROUND((C15+D15)/2,2)</f>
        <v>0</v>
      </c>
      <c r="I15" s="13">
        <v>1</v>
      </c>
      <c r="J15" s="12">
        <f>ROUND(H15/($C$48*I15),2)</f>
        <v>0</v>
      </c>
    </row>
    <row r="16" spans="2:10" x14ac:dyDescent="0.25">
      <c r="B16" s="9" t="s">
        <v>29</v>
      </c>
      <c r="C16" s="10">
        <f>'Other Estimates'!D16</f>
        <v>16</v>
      </c>
      <c r="D16" s="10">
        <f>'Other Estimates'!E16</f>
        <v>24</v>
      </c>
      <c r="E16" s="11" t="s">
        <v>28</v>
      </c>
      <c r="H16" s="12">
        <f>ROUND((C16+D16)/2,2)</f>
        <v>20</v>
      </c>
      <c r="I16" s="13">
        <v>1</v>
      </c>
      <c r="J16" s="12">
        <f>ROUND(H16/($C$48*I16),2)</f>
        <v>0.5</v>
      </c>
    </row>
    <row r="17" spans="2:10" x14ac:dyDescent="0.25">
      <c r="B17" s="9" t="s">
        <v>30</v>
      </c>
      <c r="C17" s="10">
        <f>'Other Estimates'!D22</f>
        <v>0</v>
      </c>
      <c r="D17" s="10">
        <f>'Other Estimates'!E22</f>
        <v>0</v>
      </c>
      <c r="E17" s="11" t="s">
        <v>28</v>
      </c>
      <c r="H17" s="12">
        <f>ROUND((C17+D17)/2,2)</f>
        <v>0</v>
      </c>
      <c r="I17" s="13">
        <v>1</v>
      </c>
      <c r="J17" s="12">
        <f>ROUND(H17/($C$48*I17),2)</f>
        <v>0</v>
      </c>
    </row>
    <row r="18" spans="2:10" x14ac:dyDescent="0.25">
      <c r="B18" s="9" t="s">
        <v>31</v>
      </c>
      <c r="C18" s="10">
        <f>'Other Estimates'!D28</f>
        <v>0</v>
      </c>
      <c r="D18" s="10">
        <f>'Other Estimates'!E28</f>
        <v>0</v>
      </c>
      <c r="E18" s="11" t="s">
        <v>32</v>
      </c>
      <c r="H18" s="12">
        <f>ROUND((C18+D18)/2,2)</f>
        <v>0</v>
      </c>
      <c r="I18" s="13">
        <v>1</v>
      </c>
      <c r="J18" s="12">
        <f>ROUND(H18/($C$48*I18),2)</f>
        <v>0</v>
      </c>
    </row>
    <row r="19" spans="2:10" x14ac:dyDescent="0.25">
      <c r="B19" s="9" t="s">
        <v>33</v>
      </c>
      <c r="C19" s="10">
        <f>'Design Estimates'!D6</f>
        <v>0</v>
      </c>
      <c r="D19" s="10">
        <f>'Design Estimates'!E6</f>
        <v>0</v>
      </c>
      <c r="E19" s="11" t="s">
        <v>34</v>
      </c>
      <c r="H19" s="12">
        <f>ROUND((C19+D19)/2,2)</f>
        <v>0</v>
      </c>
      <c r="I19" s="13">
        <v>1</v>
      </c>
      <c r="J19" s="12">
        <f>ROUND(H19/($C$48*I19),2)</f>
        <v>0</v>
      </c>
    </row>
    <row r="20" spans="2:8" x14ac:dyDescent="0.25">
      <c r="B20" s="11" t="s">
        <v>35</v>
      </c>
      <c r="C20" s="14">
        <f>SUM(C11:C18)+IF($C$47="Yes",C19,0)</f>
        <v>50.26</v>
      </c>
      <c r="D20" s="14">
        <f>SUM(D11:D18)+IF($C$47="Yes",D19,0)</f>
        <v>84.17</v>
      </c>
      <c r="H20" s="14">
        <f>ROUND((C20+D20)/2,2)</f>
        <v>67.22</v>
      </c>
    </row>
    <row r="23" spans="2:2" x14ac:dyDescent="0.25">
      <c r="B23" s="3" t="s">
        <v>36</v>
      </c>
    </row>
    <row r="24" spans="2:5" x14ac:dyDescent="0.25">
      <c r="B24" s="6" t="s">
        <v>37</v>
      </c>
      <c r="C24" s="6" t="s">
        <v>38</v>
      </c>
      <c r="D24" s="6" t="s">
        <v>39</v>
      </c>
      <c r="E24" s="6" t="s">
        <v>15</v>
      </c>
    </row>
    <row r="25" spans="2:5" x14ac:dyDescent="0.25">
      <c r="B25" s="11" t="s">
        <v>40</v>
      </c>
      <c r="C25" s="15" t="s">
        <v>41</v>
      </c>
      <c r="E25" s="11" t="s">
        <v>42</v>
      </c>
    </row>
    <row r="26" spans="2:5" x14ac:dyDescent="0.25">
      <c r="B26" s="11" t="s">
        <v>43</v>
      </c>
      <c r="C26" s="15" t="s">
        <v>44</v>
      </c>
      <c r="E26" s="11" t="s">
        <v>45</v>
      </c>
    </row>
    <row r="27" spans="2:5" x14ac:dyDescent="0.25">
      <c r="B27" s="11" t="s">
        <v>46</v>
      </c>
      <c r="C27" s="15" t="s">
        <v>47</v>
      </c>
      <c r="E27" s="11" t="s">
        <v>48</v>
      </c>
    </row>
    <row r="28" spans="2:5" x14ac:dyDescent="0.25">
      <c r="B28" s="11" t="s">
        <v>49</v>
      </c>
      <c r="C28" s="15" t="s">
        <v>44</v>
      </c>
      <c r="E28" s="11" t="s">
        <v>45</v>
      </c>
    </row>
    <row r="29" spans="2:5" x14ac:dyDescent="0.25">
      <c r="B29" s="11" t="s">
        <v>50</v>
      </c>
      <c r="C29" s="15" t="s">
        <v>51</v>
      </c>
      <c r="E29" s="11" t="s">
        <v>52</v>
      </c>
    </row>
    <row r="30" spans="2:5" x14ac:dyDescent="0.25">
      <c r="B30" s="11" t="s">
        <v>53</v>
      </c>
      <c r="C30" s="15" t="s">
        <v>44</v>
      </c>
      <c r="E30" s="11" t="s">
        <v>45</v>
      </c>
    </row>
    <row r="31" spans="2:5" x14ac:dyDescent="0.25">
      <c r="B31" s="11" t="s">
        <v>54</v>
      </c>
      <c r="C31" s="15" t="s">
        <v>44</v>
      </c>
      <c r="E31" s="11" t="s">
        <v>45</v>
      </c>
    </row>
    <row r="32" spans="2:5" x14ac:dyDescent="0.25">
      <c r="B32" s="11" t="s">
        <v>55</v>
      </c>
      <c r="C32" s="15" t="s">
        <v>56</v>
      </c>
      <c r="E32" s="11" t="s">
        <v>39</v>
      </c>
    </row>
    <row r="46" spans="2:2" x14ac:dyDescent="0.25">
      <c r="B46" s="3" t="s">
        <v>57</v>
      </c>
    </row>
    <row r="47" spans="2:3" x14ac:dyDescent="0.25">
      <c r="B47" s="3" t="s">
        <v>58</v>
      </c>
      <c r="C47" s="4" t="s">
        <v>59</v>
      </c>
    </row>
    <row r="48" spans="2:3" x14ac:dyDescent="0.25">
      <c r="B48" s="3" t="s">
        <v>60</v>
      </c>
      <c r="C48" s="4">
        <v>40</v>
      </c>
    </row>
    <row r="49" spans="2:3" x14ac:dyDescent="0.25">
      <c r="B49" s="3" t="s">
        <v>61</v>
      </c>
      <c r="C49" s="4">
        <v>2</v>
      </c>
    </row>
    <row r="50" spans="2:3" x14ac:dyDescent="0.25">
      <c r="B50" s="3" t="s">
        <v>62</v>
      </c>
      <c r="C50" s="4" t="s">
        <v>63</v>
      </c>
    </row>
    <row r="51" spans="2:3" x14ac:dyDescent="0.25">
      <c r="B51" s="3" t="s">
        <v>64</v>
      </c>
      <c r="C51" s="4" t="s">
        <v>65</v>
      </c>
    </row>
    <row r="55" spans="2:2" x14ac:dyDescent="0.25">
      <c r="B55" s="3" t="s">
        <v>66</v>
      </c>
    </row>
    <row r="56" spans="2:4" x14ac:dyDescent="0.25">
      <c r="B56" s="6" t="s">
        <v>67</v>
      </c>
      <c r="C56" s="6" t="s">
        <v>68</v>
      </c>
      <c r="D56" s="6" t="s">
        <v>69</v>
      </c>
    </row>
    <row r="57" spans="2:4" x14ac:dyDescent="0.25">
      <c r="B57" s="11" t="s">
        <v>70</v>
      </c>
      <c r="C57" s="16">
        <v>0.64</v>
      </c>
      <c r="D57" s="16">
        <v>2.92</v>
      </c>
    </row>
    <row r="58" spans="2:4" x14ac:dyDescent="0.25">
      <c r="B58" s="11" t="s">
        <v>71</v>
      </c>
      <c r="C58" s="16">
        <v>0.05</v>
      </c>
      <c r="D58" s="16">
        <v>7.3</v>
      </c>
    </row>
    <row r="59" spans="2:4" x14ac:dyDescent="0.25">
      <c r="B59" s="11" t="s">
        <v>72</v>
      </c>
      <c r="C59" s="16">
        <v>0.07</v>
      </c>
      <c r="D59" s="16">
        <v>0.09</v>
      </c>
    </row>
    <row r="60" spans="2:4" x14ac:dyDescent="0.25">
      <c r="B60" s="11" t="s">
        <v>73</v>
      </c>
      <c r="C60" s="16">
        <v>11.7</v>
      </c>
      <c r="D60" s="16">
        <v>16.2</v>
      </c>
    </row>
    <row r="61" spans="2:4" x14ac:dyDescent="0.25">
      <c r="B61" s="11" t="s">
        <v>74</v>
      </c>
      <c r="C61" s="16">
        <v>5.85</v>
      </c>
      <c r="D61" s="16">
        <v>8.1</v>
      </c>
    </row>
    <row r="62" spans="2:4" x14ac:dyDescent="0.25">
      <c r="B62" s="3" t="s">
        <v>75</v>
      </c>
      <c r="C62" s="17">
        <f>SUM(C57:C61)</f>
        <v>18.31</v>
      </c>
      <c r="D62" s="17">
        <f>SUM(D57:D61)</f>
        <v>34.61</v>
      </c>
    </row>
    <row r="63" spans="2:3" x14ac:dyDescent="0.25">
      <c r="B63" s="3" t="s">
        <v>76</v>
      </c>
      <c r="C63" s="4" t="s">
        <v>77</v>
      </c>
    </row>
    <row r="65" spans="2:2" x14ac:dyDescent="0.25">
      <c r="B65" s="3" t="s">
        <v>78</v>
      </c>
    </row>
    <row r="66" spans="2:3" x14ac:dyDescent="0.25">
      <c r="B66" s="11" t="s">
        <v>79</v>
      </c>
      <c r="C66" s="16">
        <v>35</v>
      </c>
    </row>
    <row r="67" spans="2:4" x14ac:dyDescent="0.25">
      <c r="B67" s="11" t="s">
        <v>80</v>
      </c>
      <c r="C67" s="16">
        <v>8.58</v>
      </c>
      <c r="D67" s="16">
        <v>14.31</v>
      </c>
    </row>
    <row r="69" spans="2:2" x14ac:dyDescent="0.25">
      <c r="B69" s="3" t="s">
        <v>81</v>
      </c>
    </row>
    <row r="70" spans="2:2" x14ac:dyDescent="0.25">
      <c r="B70" s="11" t="s">
        <v>82</v>
      </c>
    </row>
    <row r="71" spans="2:2" x14ac:dyDescent="0.25">
      <c r="B71" s="11" t="s">
        <v>83</v>
      </c>
    </row>
    <row r="72" spans="2:2" x14ac:dyDescent="0.25">
      <c r="B72" s="11" t="s">
        <v>84</v>
      </c>
    </row>
    <row r="73" spans="2:2" x14ac:dyDescent="0.25">
      <c r="B73" s="11" t="s">
        <v>85</v>
      </c>
    </row>
    <row r="74" spans="2:2" x14ac:dyDescent="0.25">
      <c r="B74" s="11" t="s">
        <v>86</v>
      </c>
    </row>
    <row r="75" spans="2:2" x14ac:dyDescent="0.25">
      <c r="B75" s="11" t="s">
        <v>87</v>
      </c>
    </row>
    <row r="76" spans="2:2" x14ac:dyDescent="0.25">
      <c r="B76" s="11" t="s">
        <v>88</v>
      </c>
    </row>
    <row r="77" spans="2:2" x14ac:dyDescent="0.25">
      <c r="B77" s="11" t="s">
        <v>89</v>
      </c>
    </row>
    <row r="78" spans="2:2" x14ac:dyDescent="0.25">
      <c r="B78" s="11" t="s">
        <v>90</v>
      </c>
    </row>
    <row r="79" spans="2:2" x14ac:dyDescent="0.25">
      <c r="B79" s="11" t="s">
        <v>91</v>
      </c>
    </row>
    <row r="80" spans="2:2" x14ac:dyDescent="0.25">
      <c r="B80" s="11" t="s">
        <v>92</v>
      </c>
    </row>
    <row r="81" spans="2:2" x14ac:dyDescent="0.25">
      <c r="B81" s="11" t="s">
        <v>93</v>
      </c>
    </row>
    <row r="82" spans="2:2" x14ac:dyDescent="0.25">
      <c r="B82" s="11" t="s">
        <v>94</v>
      </c>
    </row>
    <row r="83" spans="2:2" x14ac:dyDescent="0.25">
      <c r="B83" s="11" t="s">
        <v>95</v>
      </c>
    </row>
    <row r="84" spans="2:2" x14ac:dyDescent="0.25">
      <c r="B84" s="11" t="s">
        <v>96</v>
      </c>
    </row>
    <row r="85" spans="2:2" x14ac:dyDescent="0.25">
      <c r="B85" s="11" t="s">
        <v>97</v>
      </c>
    </row>
    <row r="86" spans="2:2" x14ac:dyDescent="0.25">
      <c r="B86" s="11" t="s">
        <v>98</v>
      </c>
    </row>
    <row r="87" spans="2:2" x14ac:dyDescent="0.25">
      <c r="B87" s="11" t="s">
        <v>99</v>
      </c>
    </row>
    <row r="88" spans="2:2" x14ac:dyDescent="0.25">
      <c r="B88" s="11" t="s">
        <v>100</v>
      </c>
    </row>
    <row r="89" spans="2:2" x14ac:dyDescent="0.25">
      <c r="B89" s="11" t="s">
        <v>101</v>
      </c>
    </row>
    <row r="90" spans="2:2" x14ac:dyDescent="0.25">
      <c r="B90" s="11" t="s">
        <v>102</v>
      </c>
    </row>
    <row r="91" spans="2:2" x14ac:dyDescent="0.25">
      <c r="B91" s="11" t="s">
        <v>103</v>
      </c>
    </row>
    <row r="92" spans="2:2" x14ac:dyDescent="0.25">
      <c r="B92" s="11" t="s">
        <v>104</v>
      </c>
    </row>
    <row r="93" spans="2:2" x14ac:dyDescent="0.25">
      <c r="B93" s="11" t="s">
        <v>105</v>
      </c>
    </row>
    <row r="94" spans="2:2" x14ac:dyDescent="0.25">
      <c r="B94" s="11" t="s">
        <v>106</v>
      </c>
    </row>
    <row r="95" spans="2:2" x14ac:dyDescent="0.25">
      <c r="B95" s="11" t="s">
        <v>107</v>
      </c>
    </row>
    <row r="96" spans="2:2" x14ac:dyDescent="0.25">
      <c r="B96" s="11" t="s">
        <v>108</v>
      </c>
    </row>
    <row r="97" spans="2:2" x14ac:dyDescent="0.25">
      <c r="B97" s="11" t="s">
        <v>109</v>
      </c>
    </row>
  </sheetData>
  <mergeCells count="3">
    <mergeCell ref="B2:E2"/>
    <mergeCell ref="B3:E3"/>
    <mergeCell ref="C9:D9"/>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67"/>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1" width="12" customWidth="1"/>
    <col min="12" max="26" width="7.75" customWidth="1"/>
  </cols>
  <sheetData>
    <row r="2" spans="2:6" x14ac:dyDescent="0.25">
      <c r="B2" s="18" t="s">
        <v>110</v>
      </c>
      <c r="C2" s="18"/>
      <c r="D2" s="18"/>
      <c r="E2" s="18"/>
      <c r="F2" s="18"/>
    </row>
    <row r="3" spans="2:6" x14ac:dyDescent="0.25">
      <c r="B3" s="19" t="s">
        <v>8</v>
      </c>
      <c r="C3" s="19"/>
      <c r="D3" s="19"/>
      <c r="E3" s="19"/>
      <c r="F3" s="19"/>
    </row>
    <row r="4" spans="2:6" x14ac:dyDescent="0.25">
      <c r="B4" s="20" t="s">
        <v>111</v>
      </c>
      <c r="C4" s="20"/>
      <c r="D4" s="20"/>
      <c r="E4" s="20"/>
      <c r="F4" s="20"/>
    </row>
    <row r="6" spans="3:6" x14ac:dyDescent="0.25">
      <c r="C6" s="21" t="s">
        <v>112</v>
      </c>
      <c r="D6" s="22">
        <f>D22+D27+D32</f>
        <v>25.58</v>
      </c>
      <c r="E6" s="22">
        <f>E22+E27+E32</f>
        <v>42.81</v>
      </c>
      <c r="F6" s="23" t="s">
        <v>113</v>
      </c>
    </row>
    <row r="8" spans="2:9" x14ac:dyDescent="0.25">
      <c r="B8" s="24" t="s">
        <v>114</v>
      </c>
      <c r="C8" s="25" t="s">
        <v>115</v>
      </c>
      <c r="D8" s="26" t="s">
        <v>13</v>
      </c>
      <c r="E8" s="26" t="s">
        <v>14</v>
      </c>
      <c r="F8" s="24" t="s">
        <v>15</v>
      </c>
      <c r="G8" s="24" t="s">
        <v>116</v>
      </c>
      <c r="H8" s="24" t="s">
        <v>117</v>
      </c>
      <c r="I8" s="24" t="s">
        <v>118</v>
      </c>
    </row>
    <row r="9" spans="2:6" x14ac:dyDescent="0.25">
      <c r="B9" s="27">
        <v>1</v>
      </c>
      <c r="C9" s="28" t="s">
        <v>119</v>
      </c>
      <c r="D9" s="29">
        <f>SUM(D10:D11)</f>
        <v>25.58</v>
      </c>
      <c r="E9" s="29">
        <f>SUM(E10:E11)</f>
        <v>42.81</v>
      </c>
      <c r="F9" s="30" t="s">
        <v>39</v>
      </c>
    </row>
    <row r="10" spans="2:9" x14ac:dyDescent="0.25">
      <c r="B10" s="11" t="s">
        <v>39</v>
      </c>
      <c r="C10" s="31" t="s">
        <v>120</v>
      </c>
      <c r="D10" s="32">
        <v>13.1</v>
      </c>
      <c r="E10" s="32">
        <v>20.97</v>
      </c>
      <c r="F10" s="9" t="s">
        <v>121</v>
      </c>
      <c r="G10" t="s">
        <v>122</v>
      </c>
      <c r="H10" t="s">
        <v>123</v>
      </c>
      <c r="I10" t="s">
        <v>124</v>
      </c>
    </row>
    <row r="11" spans="2:9" x14ac:dyDescent="0.25">
      <c r="B11" s="11" t="s">
        <v>39</v>
      </c>
      <c r="C11" s="31" t="s">
        <v>125</v>
      </c>
      <c r="D11" s="32">
        <v>12.48</v>
      </c>
      <c r="E11" s="32">
        <v>21.84</v>
      </c>
      <c r="F11" s="9" t="s">
        <v>126</v>
      </c>
      <c r="G11" t="s">
        <v>122</v>
      </c>
      <c r="H11" t="s">
        <v>39</v>
      </c>
      <c r="I11" t="s">
        <v>127</v>
      </c>
    </row>
    <row r="13" spans="2:6" x14ac:dyDescent="0.25">
      <c r="B13" s="27">
        <v>2</v>
      </c>
      <c r="C13" s="28" t="s">
        <v>128</v>
      </c>
      <c r="D13" s="29">
        <f>SUM(D14:D15)</f>
        <v>0</v>
      </c>
      <c r="E13" s="29">
        <f>SUM(E14:E15)</f>
        <v>0</v>
      </c>
      <c r="F13" s="30" t="s">
        <v>39</v>
      </c>
    </row>
    <row r="14" spans="2:9" x14ac:dyDescent="0.25">
      <c r="B14" s="11" t="s">
        <v>39</v>
      </c>
      <c r="C14" s="31" t="s">
        <v>129</v>
      </c>
      <c r="D14" s="32">
        <v>0</v>
      </c>
      <c r="E14" s="32">
        <v>0</v>
      </c>
      <c r="F14" s="9" t="s">
        <v>130</v>
      </c>
      <c r="G14" t="s">
        <v>131</v>
      </c>
      <c r="H14" t="s">
        <v>132</v>
      </c>
      <c r="I14" t="s">
        <v>133</v>
      </c>
    </row>
    <row r="15" spans="2:9" x14ac:dyDescent="0.25">
      <c r="B15" s="11" t="s">
        <v>39</v>
      </c>
      <c r="C15" s="31" t="s">
        <v>134</v>
      </c>
      <c r="D15" s="32">
        <v>0</v>
      </c>
      <c r="E15" s="32">
        <v>0</v>
      </c>
      <c r="F15" s="9" t="s">
        <v>135</v>
      </c>
      <c r="G15" t="s">
        <v>131</v>
      </c>
      <c r="H15" t="s">
        <v>136</v>
      </c>
      <c r="I15" t="s">
        <v>137</v>
      </c>
    </row>
    <row r="17" spans="2:6" x14ac:dyDescent="0.25">
      <c r="B17" s="27">
        <v>3</v>
      </c>
      <c r="C17" s="28" t="s">
        <v>138</v>
      </c>
      <c r="D17" s="29">
        <f>SUM(D18:D20)</f>
        <v>0</v>
      </c>
      <c r="E17" s="29">
        <f>SUM(E18:E20)</f>
        <v>0</v>
      </c>
      <c r="F17" s="30" t="s">
        <v>39</v>
      </c>
    </row>
    <row r="18" spans="2:9" x14ac:dyDescent="0.25">
      <c r="B18" s="11" t="s">
        <v>39</v>
      </c>
      <c r="C18" s="31" t="s">
        <v>139</v>
      </c>
      <c r="D18" s="32">
        <v>0</v>
      </c>
      <c r="E18" s="32">
        <v>0</v>
      </c>
      <c r="F18" s="9" t="s">
        <v>140</v>
      </c>
      <c r="G18" t="s">
        <v>131</v>
      </c>
      <c r="H18" t="s">
        <v>141</v>
      </c>
      <c r="I18" t="s">
        <v>142</v>
      </c>
    </row>
    <row r="19" spans="2:9" x14ac:dyDescent="0.25">
      <c r="B19" s="11" t="s">
        <v>39</v>
      </c>
      <c r="C19" s="31" t="s">
        <v>143</v>
      </c>
      <c r="D19" s="32">
        <v>0</v>
      </c>
      <c r="E19" s="32">
        <v>0</v>
      </c>
      <c r="F19" s="9" t="s">
        <v>144</v>
      </c>
      <c r="G19" t="s">
        <v>131</v>
      </c>
      <c r="H19" t="s">
        <v>145</v>
      </c>
      <c r="I19" t="s">
        <v>146</v>
      </c>
    </row>
    <row r="20" spans="2:9" x14ac:dyDescent="0.25">
      <c r="B20" s="11" t="s">
        <v>39</v>
      </c>
      <c r="C20" s="31" t="s">
        <v>147</v>
      </c>
      <c r="D20" s="32">
        <v>0</v>
      </c>
      <c r="E20" s="32">
        <v>0</v>
      </c>
      <c r="F20" s="9" t="s">
        <v>148</v>
      </c>
      <c r="G20" t="s">
        <v>131</v>
      </c>
      <c r="H20" t="s">
        <v>149</v>
      </c>
      <c r="I20" t="s">
        <v>150</v>
      </c>
    </row>
    <row r="22" spans="2:6" x14ac:dyDescent="0.25">
      <c r="B22" s="33" t="s">
        <v>39</v>
      </c>
      <c r="C22" s="33" t="s">
        <v>151</v>
      </c>
      <c r="D22" s="34">
        <f>D9+D13+D17</f>
        <v>25.58</v>
      </c>
      <c r="E22" s="34">
        <f>E9+E13+E17</f>
        <v>42.81</v>
      </c>
      <c r="F22" s="35" t="s">
        <v>39</v>
      </c>
    </row>
    <row r="25" spans="2:9" x14ac:dyDescent="0.25">
      <c r="B25" s="24" t="s">
        <v>114</v>
      </c>
      <c r="C25" s="25" t="s">
        <v>152</v>
      </c>
      <c r="D25" s="26" t="s">
        <v>13</v>
      </c>
      <c r="E25" s="26" t="s">
        <v>14</v>
      </c>
      <c r="F25" s="24" t="s">
        <v>15</v>
      </c>
      <c r="G25" s="24" t="s">
        <v>116</v>
      </c>
      <c r="H25" s="24" t="s">
        <v>117</v>
      </c>
      <c r="I25" s="24" t="s">
        <v>118</v>
      </c>
    </row>
    <row r="26" spans="2:6" x14ac:dyDescent="0.25">
      <c r="B26" s="11">
        <v>1</v>
      </c>
      <c r="C26" s="31" t="s">
        <v>153</v>
      </c>
      <c r="D26" s="32">
        <v>0</v>
      </c>
      <c r="E26" s="32">
        <v>0</v>
      </c>
      <c r="F26" s="9" t="s">
        <v>39</v>
      </c>
    </row>
    <row r="27" spans="2:6" x14ac:dyDescent="0.25">
      <c r="B27" s="33" t="s">
        <v>39</v>
      </c>
      <c r="C27" s="33" t="s">
        <v>154</v>
      </c>
      <c r="D27" s="34">
        <f>SUM(D26:D26)</f>
        <v>0</v>
      </c>
      <c r="E27" s="34">
        <f>SUM(E26:E26)</f>
        <v>0</v>
      </c>
      <c r="F27" s="35" t="s">
        <v>39</v>
      </c>
    </row>
    <row r="30" spans="2:9" x14ac:dyDescent="0.25">
      <c r="B30" s="24" t="s">
        <v>114</v>
      </c>
      <c r="C30" s="25" t="s">
        <v>155</v>
      </c>
      <c r="D30" s="26" t="s">
        <v>13</v>
      </c>
      <c r="E30" s="26" t="s">
        <v>14</v>
      </c>
      <c r="F30" s="24" t="s">
        <v>15</v>
      </c>
      <c r="G30" s="24" t="s">
        <v>116</v>
      </c>
      <c r="H30" s="24" t="s">
        <v>117</v>
      </c>
      <c r="I30" s="24" t="s">
        <v>118</v>
      </c>
    </row>
    <row r="31" spans="2:6" x14ac:dyDescent="0.25">
      <c r="B31" s="11">
        <v>1</v>
      </c>
      <c r="C31" s="31" t="s">
        <v>153</v>
      </c>
      <c r="D31" s="32">
        <v>0</v>
      </c>
      <c r="E31" s="32">
        <v>0</v>
      </c>
      <c r="F31" s="9" t="s">
        <v>156</v>
      </c>
    </row>
    <row r="32" spans="2:6" x14ac:dyDescent="0.25">
      <c r="B32" s="33" t="s">
        <v>39</v>
      </c>
      <c r="C32" s="33" t="s">
        <v>157</v>
      </c>
      <c r="D32" s="34">
        <f>SUM(D31:D31)</f>
        <v>0</v>
      </c>
      <c r="E32" s="34">
        <f>SUM(E31:E31)</f>
        <v>0</v>
      </c>
      <c r="F32" s="35" t="s">
        <v>39</v>
      </c>
    </row>
    <row r="35" spans="2:6" x14ac:dyDescent="0.25">
      <c r="B35" s="24" t="s">
        <v>114</v>
      </c>
      <c r="C35" s="25" t="s">
        <v>158</v>
      </c>
      <c r="D35" s="25"/>
      <c r="E35" s="25"/>
      <c r="F35" s="25"/>
    </row>
    <row r="36" spans="2:6" x14ac:dyDescent="0.25">
      <c r="B36" s="11">
        <v>1</v>
      </c>
      <c r="C36" s="31" t="s">
        <v>82</v>
      </c>
      <c r="D36" s="31"/>
      <c r="E36" s="31"/>
      <c r="F36" s="31"/>
    </row>
    <row r="37" spans="2:6" x14ac:dyDescent="0.25">
      <c r="B37" s="11">
        <v>2</v>
      </c>
      <c r="C37" s="31" t="s">
        <v>83</v>
      </c>
      <c r="D37" s="31"/>
      <c r="E37" s="31"/>
      <c r="F37" s="31"/>
    </row>
    <row r="38" spans="2:6" x14ac:dyDescent="0.25">
      <c r="B38" s="11">
        <v>3</v>
      </c>
      <c r="C38" s="31" t="s">
        <v>84</v>
      </c>
      <c r="D38" s="31"/>
      <c r="E38" s="31"/>
      <c r="F38" s="31"/>
    </row>
    <row r="39" spans="2:6" x14ac:dyDescent="0.25">
      <c r="B39" s="11">
        <v>4</v>
      </c>
      <c r="C39" s="31" t="s">
        <v>85</v>
      </c>
      <c r="D39" s="31"/>
      <c r="E39" s="31"/>
      <c r="F39" s="31"/>
    </row>
    <row r="40" spans="2:6" x14ac:dyDescent="0.25">
      <c r="B40" s="11">
        <v>5</v>
      </c>
      <c r="C40" s="31" t="s">
        <v>86</v>
      </c>
      <c r="D40" s="31"/>
      <c r="E40" s="31"/>
      <c r="F40" s="31"/>
    </row>
    <row r="41" spans="2:6" x14ac:dyDescent="0.25">
      <c r="B41" s="11">
        <v>6</v>
      </c>
      <c r="C41" s="31" t="s">
        <v>87</v>
      </c>
      <c r="D41" s="31"/>
      <c r="E41" s="31"/>
      <c r="F41" s="31"/>
    </row>
    <row r="42" spans="2:6" x14ac:dyDescent="0.25">
      <c r="B42" s="11">
        <v>7</v>
      </c>
      <c r="C42" s="31" t="s">
        <v>88</v>
      </c>
      <c r="D42" s="31"/>
      <c r="E42" s="31"/>
      <c r="F42" s="31"/>
    </row>
    <row r="43" spans="2:6" x14ac:dyDescent="0.25">
      <c r="B43" s="11">
        <v>8</v>
      </c>
      <c r="C43" s="31" t="s">
        <v>89</v>
      </c>
      <c r="D43" s="31"/>
      <c r="E43" s="31"/>
      <c r="F43" s="31"/>
    </row>
    <row r="44" spans="2:6" x14ac:dyDescent="0.25">
      <c r="B44" s="11">
        <v>9</v>
      </c>
      <c r="C44" s="31" t="s">
        <v>90</v>
      </c>
      <c r="D44" s="31"/>
      <c r="E44" s="31"/>
      <c r="F44" s="31"/>
    </row>
    <row r="45" spans="2:6" x14ac:dyDescent="0.25">
      <c r="B45" s="11">
        <v>10</v>
      </c>
      <c r="C45" s="31" t="s">
        <v>91</v>
      </c>
      <c r="D45" s="31"/>
      <c r="E45" s="31"/>
      <c r="F45" s="31"/>
    </row>
    <row r="46" spans="2:6" x14ac:dyDescent="0.25">
      <c r="B46" s="11">
        <v>11</v>
      </c>
      <c r="C46" s="31" t="s">
        <v>92</v>
      </c>
      <c r="D46" s="31"/>
      <c r="E46" s="31"/>
      <c r="F46" s="31"/>
    </row>
    <row r="47" spans="2:6" x14ac:dyDescent="0.25">
      <c r="B47" s="11">
        <v>12</v>
      </c>
      <c r="C47" s="31" t="s">
        <v>93</v>
      </c>
      <c r="D47" s="31"/>
      <c r="E47" s="31"/>
      <c r="F47" s="31"/>
    </row>
    <row r="48" spans="2:6" x14ac:dyDescent="0.25">
      <c r="B48" s="11">
        <v>13</v>
      </c>
      <c r="C48" s="31" t="s">
        <v>94</v>
      </c>
      <c r="D48" s="31"/>
      <c r="E48" s="31"/>
      <c r="F48" s="31"/>
    </row>
    <row r="49" spans="2:6" x14ac:dyDescent="0.25">
      <c r="B49" s="11">
        <v>14</v>
      </c>
      <c r="C49" s="31" t="s">
        <v>95</v>
      </c>
      <c r="D49" s="31"/>
      <c r="E49" s="31"/>
      <c r="F49" s="31"/>
    </row>
    <row r="50" spans="2:6" x14ac:dyDescent="0.25">
      <c r="B50" s="11">
        <v>15</v>
      </c>
      <c r="C50" s="31" t="s">
        <v>96</v>
      </c>
      <c r="D50" s="31"/>
      <c r="E50" s="31"/>
      <c r="F50" s="31"/>
    </row>
    <row r="51" spans="2:6" x14ac:dyDescent="0.25">
      <c r="B51" s="11">
        <v>16</v>
      </c>
      <c r="C51" s="31" t="s">
        <v>97</v>
      </c>
      <c r="D51" s="31"/>
      <c r="E51" s="31"/>
      <c r="F51" s="31"/>
    </row>
    <row r="52" spans="2:6" x14ac:dyDescent="0.25">
      <c r="B52" s="11">
        <v>17</v>
      </c>
      <c r="C52" s="31" t="s">
        <v>98</v>
      </c>
      <c r="D52" s="31"/>
      <c r="E52" s="31"/>
      <c r="F52" s="31"/>
    </row>
    <row r="53" spans="2:6" x14ac:dyDescent="0.25">
      <c r="B53" s="11">
        <v>18</v>
      </c>
      <c r="C53" s="31" t="s">
        <v>99</v>
      </c>
      <c r="D53" s="31"/>
      <c r="E53" s="31"/>
      <c r="F53" s="31"/>
    </row>
    <row r="54" spans="2:6" x14ac:dyDescent="0.25">
      <c r="B54" s="11">
        <v>19</v>
      </c>
      <c r="C54" s="31" t="s">
        <v>100</v>
      </c>
      <c r="D54" s="31"/>
      <c r="E54" s="31"/>
      <c r="F54" s="31"/>
    </row>
    <row r="55" spans="2:6" x14ac:dyDescent="0.25">
      <c r="B55" s="11">
        <v>20</v>
      </c>
      <c r="C55" s="31" t="s">
        <v>101</v>
      </c>
      <c r="D55" s="31"/>
      <c r="E55" s="31"/>
      <c r="F55" s="31"/>
    </row>
    <row r="56" spans="2:6" x14ac:dyDescent="0.25">
      <c r="B56" s="11">
        <v>21</v>
      </c>
      <c r="C56" s="31" t="s">
        <v>102</v>
      </c>
      <c r="D56" s="31"/>
      <c r="E56" s="31"/>
      <c r="F56" s="31"/>
    </row>
    <row r="57" spans="2:6" x14ac:dyDescent="0.25">
      <c r="B57" s="11">
        <v>22</v>
      </c>
      <c r="C57" s="31" t="s">
        <v>103</v>
      </c>
      <c r="D57" s="31"/>
      <c r="E57" s="31"/>
      <c r="F57" s="31"/>
    </row>
    <row r="58" spans="2:6" x14ac:dyDescent="0.25">
      <c r="B58" s="11">
        <v>23</v>
      </c>
      <c r="C58" s="31" t="s">
        <v>104</v>
      </c>
      <c r="D58" s="31"/>
      <c r="E58" s="31"/>
      <c r="F58" s="31"/>
    </row>
    <row r="59" spans="2:6" x14ac:dyDescent="0.25">
      <c r="B59" s="11">
        <v>24</v>
      </c>
      <c r="C59" s="31" t="s">
        <v>105</v>
      </c>
      <c r="D59" s="31"/>
      <c r="E59" s="31"/>
      <c r="F59" s="31"/>
    </row>
    <row r="60" spans="2:6" x14ac:dyDescent="0.25">
      <c r="B60" s="11">
        <v>25</v>
      </c>
      <c r="C60" s="31" t="s">
        <v>106</v>
      </c>
      <c r="D60" s="31"/>
      <c r="E60" s="31"/>
      <c r="F60" s="31"/>
    </row>
    <row r="61" spans="2:6" x14ac:dyDescent="0.25">
      <c r="B61" s="11">
        <v>26</v>
      </c>
      <c r="C61" s="31" t="s">
        <v>107</v>
      </c>
      <c r="D61" s="31"/>
      <c r="E61" s="31"/>
      <c r="F61" s="31"/>
    </row>
    <row r="62" spans="2:6" x14ac:dyDescent="0.25">
      <c r="B62" s="11">
        <v>27</v>
      </c>
      <c r="C62" s="31" t="s">
        <v>108</v>
      </c>
      <c r="D62" s="31"/>
      <c r="E62" s="31"/>
      <c r="F62" s="31"/>
    </row>
    <row r="63" spans="2:6" x14ac:dyDescent="0.25">
      <c r="B63" s="11">
        <v>28</v>
      </c>
      <c r="C63" s="31" t="s">
        <v>109</v>
      </c>
      <c r="D63" s="31"/>
      <c r="E63" s="31"/>
      <c r="F63" s="31"/>
    </row>
    <row r="66" spans="2:6" x14ac:dyDescent="0.25">
      <c r="B66" s="24" t="s">
        <v>114</v>
      </c>
      <c r="C66" s="25" t="s">
        <v>159</v>
      </c>
      <c r="D66" s="25"/>
      <c r="E66" s="25"/>
      <c r="F66" s="25"/>
    </row>
    <row r="67" spans="2:6" x14ac:dyDescent="0.25">
      <c r="B67" s="11">
        <v>1</v>
      </c>
      <c r="C67" s="31" t="s">
        <v>160</v>
      </c>
      <c r="D67" s="31"/>
      <c r="E67" s="31"/>
      <c r="F67" s="31"/>
    </row>
  </sheetData>
  <mergeCells count="34">
    <mergeCell ref="B2:F2"/>
    <mergeCell ref="B3:F3"/>
    <mergeCell ref="B4:F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6:F66"/>
    <mergeCell ref="C67:F67"/>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21"/>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1" width="12" customWidth="1"/>
    <col min="12" max="26" width="7.75" customWidth="1"/>
  </cols>
  <sheetData>
    <row r="2" spans="2:6" x14ac:dyDescent="0.25">
      <c r="B2" s="18" t="s">
        <v>110</v>
      </c>
      <c r="C2" s="18"/>
      <c r="D2" s="18"/>
      <c r="E2" s="18"/>
      <c r="F2" s="18"/>
    </row>
    <row r="3" spans="2:6" x14ac:dyDescent="0.25">
      <c r="B3" s="19" t="s">
        <v>8</v>
      </c>
      <c r="C3" s="19"/>
      <c r="D3" s="19"/>
      <c r="E3" s="19"/>
      <c r="F3" s="19"/>
    </row>
    <row r="4" spans="2:6" x14ac:dyDescent="0.25">
      <c r="B4" s="20" t="s">
        <v>111</v>
      </c>
      <c r="C4" s="20"/>
      <c r="D4" s="20"/>
      <c r="E4" s="20"/>
      <c r="F4" s="20"/>
    </row>
    <row r="5" spans="2:2" x14ac:dyDescent="0.25">
      <c r="B5" s="36" t="s">
        <v>161</v>
      </c>
    </row>
    <row r="6" spans="3:6" x14ac:dyDescent="0.25">
      <c r="C6" s="21" t="s">
        <v>112</v>
      </c>
      <c r="D6" s="22">
        <f>D11+D16+D21</f>
        <v>0</v>
      </c>
      <c r="E6" s="22">
        <f>E11+E16+E21</f>
        <v>0</v>
      </c>
      <c r="F6" s="23" t="s">
        <v>113</v>
      </c>
    </row>
    <row r="8" spans="2:9" x14ac:dyDescent="0.25">
      <c r="B8" s="24" t="s">
        <v>114</v>
      </c>
      <c r="C8" s="25" t="s">
        <v>115</v>
      </c>
      <c r="D8" s="26" t="s">
        <v>13</v>
      </c>
      <c r="E8" s="26" t="s">
        <v>14</v>
      </c>
      <c r="F8" s="24" t="s">
        <v>15</v>
      </c>
      <c r="G8" s="24" t="s">
        <v>116</v>
      </c>
      <c r="H8" s="24" t="s">
        <v>117</v>
      </c>
      <c r="I8" s="24" t="s">
        <v>118</v>
      </c>
    </row>
    <row r="9" spans="3:5" x14ac:dyDescent="0.25">
      <c r="C9" s="31" t="s">
        <v>153</v>
      </c>
      <c r="D9" s="32">
        <v>0</v>
      </c>
      <c r="E9" s="32">
        <v>0</v>
      </c>
    </row>
    <row r="11" spans="2:6" x14ac:dyDescent="0.25">
      <c r="B11" s="33" t="s">
        <v>39</v>
      </c>
      <c r="C11" s="33" t="s">
        <v>151</v>
      </c>
      <c r="D11" s="34">
        <f>D9</f>
        <v>0</v>
      </c>
      <c r="E11" s="34">
        <f>E9</f>
        <v>0</v>
      </c>
      <c r="F11" s="35" t="s">
        <v>39</v>
      </c>
    </row>
    <row r="14" spans="2:9" x14ac:dyDescent="0.25">
      <c r="B14" s="24" t="s">
        <v>114</v>
      </c>
      <c r="C14" s="25" t="s">
        <v>152</v>
      </c>
      <c r="D14" s="26" t="s">
        <v>13</v>
      </c>
      <c r="E14" s="26" t="s">
        <v>14</v>
      </c>
      <c r="F14" s="24" t="s">
        <v>15</v>
      </c>
      <c r="G14" s="24" t="s">
        <v>116</v>
      </c>
      <c r="H14" s="24" t="s">
        <v>117</v>
      </c>
      <c r="I14" s="24" t="s">
        <v>118</v>
      </c>
    </row>
    <row r="15" spans="2:6" x14ac:dyDescent="0.25">
      <c r="B15" s="11">
        <v>1</v>
      </c>
      <c r="C15" s="31" t="s">
        <v>153</v>
      </c>
      <c r="D15" s="32">
        <v>0</v>
      </c>
      <c r="E15" s="32">
        <v>0</v>
      </c>
      <c r="F15" s="9" t="s">
        <v>39</v>
      </c>
    </row>
    <row r="16" spans="2:6" x14ac:dyDescent="0.25">
      <c r="B16" s="33" t="s">
        <v>39</v>
      </c>
      <c r="C16" s="33" t="s">
        <v>154</v>
      </c>
      <c r="D16" s="34">
        <f>SUM(D15:D15)</f>
        <v>0</v>
      </c>
      <c r="E16" s="34">
        <f>SUM(E15:E15)</f>
        <v>0</v>
      </c>
      <c r="F16" s="35" t="s">
        <v>39</v>
      </c>
    </row>
    <row r="19" spans="2:9" x14ac:dyDescent="0.25">
      <c r="B19" s="24" t="s">
        <v>114</v>
      </c>
      <c r="C19" s="25" t="s">
        <v>155</v>
      </c>
      <c r="D19" s="26" t="s">
        <v>13</v>
      </c>
      <c r="E19" s="26" t="s">
        <v>14</v>
      </c>
      <c r="F19" s="24" t="s">
        <v>15</v>
      </c>
      <c r="G19" s="24" t="s">
        <v>116</v>
      </c>
      <c r="H19" s="24" t="s">
        <v>117</v>
      </c>
      <c r="I19" s="24" t="s">
        <v>118</v>
      </c>
    </row>
    <row r="20" spans="2:6" x14ac:dyDescent="0.25">
      <c r="B20" s="11">
        <v>1</v>
      </c>
      <c r="C20" s="31" t="s">
        <v>153</v>
      </c>
      <c r="D20" s="32">
        <v>0</v>
      </c>
      <c r="E20" s="32">
        <v>0</v>
      </c>
      <c r="F20" s="9" t="s">
        <v>156</v>
      </c>
    </row>
    <row r="21" spans="2:6" x14ac:dyDescent="0.25">
      <c r="B21" s="33" t="s">
        <v>39</v>
      </c>
      <c r="C21" s="33" t="s">
        <v>157</v>
      </c>
      <c r="D21" s="34">
        <f>SUM(D20:D20)</f>
        <v>0</v>
      </c>
      <c r="E21" s="34">
        <f>SUM(E20:E20)</f>
        <v>0</v>
      </c>
      <c r="F21" s="35" t="s">
        <v>39</v>
      </c>
    </row>
  </sheetData>
  <mergeCells count="3">
    <mergeCell ref="B2:F2"/>
    <mergeCell ref="B3:F3"/>
    <mergeCell ref="B4:F4"/>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71"/>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1" width="12" customWidth="1"/>
    <col min="12" max="26" width="7.75" customWidth="1"/>
  </cols>
  <sheetData>
    <row r="2" spans="2:6" x14ac:dyDescent="0.25">
      <c r="B2" s="18" t="s">
        <v>110</v>
      </c>
      <c r="C2" s="18"/>
      <c r="D2" s="18"/>
      <c r="E2" s="18"/>
      <c r="F2" s="18"/>
    </row>
    <row r="3" spans="2:6" x14ac:dyDescent="0.25">
      <c r="B3" s="19" t="s">
        <v>8</v>
      </c>
      <c r="C3" s="19"/>
      <c r="D3" s="19"/>
      <c r="E3" s="19"/>
      <c r="F3" s="19"/>
    </row>
    <row r="4" spans="2:6" x14ac:dyDescent="0.25">
      <c r="B4" s="20" t="s">
        <v>111</v>
      </c>
      <c r="C4" s="20"/>
      <c r="D4" s="20"/>
      <c r="E4" s="20"/>
      <c r="F4" s="20"/>
    </row>
    <row r="6" spans="3:6" x14ac:dyDescent="0.25">
      <c r="C6" s="21" t="s">
        <v>112</v>
      </c>
      <c r="D6" s="22">
        <f>D26+D31+D36</f>
        <v>4.68</v>
      </c>
      <c r="E6" s="22">
        <f>E26+E31+E36</f>
        <v>9.36</v>
      </c>
      <c r="F6" s="23" t="s">
        <v>113</v>
      </c>
    </row>
    <row r="8" spans="2:9" x14ac:dyDescent="0.25">
      <c r="B8" s="24" t="s">
        <v>114</v>
      </c>
      <c r="C8" s="25" t="s">
        <v>115</v>
      </c>
      <c r="D8" s="26" t="s">
        <v>13</v>
      </c>
      <c r="E8" s="26" t="s">
        <v>14</v>
      </c>
      <c r="F8" s="24" t="s">
        <v>15</v>
      </c>
      <c r="G8" s="24" t="s">
        <v>116</v>
      </c>
      <c r="H8" s="24" t="s">
        <v>117</v>
      </c>
      <c r="I8" s="24" t="s">
        <v>118</v>
      </c>
    </row>
    <row r="9" spans="2:6" x14ac:dyDescent="0.25">
      <c r="B9" s="27">
        <v>1</v>
      </c>
      <c r="C9" s="28" t="s">
        <v>119</v>
      </c>
      <c r="D9" s="29">
        <f>SUM(D10:D11)</f>
        <v>4.68</v>
      </c>
      <c r="E9" s="29">
        <f>SUM(E10:E11)</f>
        <v>9.36</v>
      </c>
      <c r="F9" s="30" t="s">
        <v>39</v>
      </c>
    </row>
    <row r="10" spans="2:9" x14ac:dyDescent="0.25">
      <c r="B10" s="11" t="s">
        <v>39</v>
      </c>
      <c r="C10" s="31" t="s">
        <v>162</v>
      </c>
      <c r="D10" s="32">
        <v>0</v>
      </c>
      <c r="E10" s="32">
        <v>0</v>
      </c>
      <c r="F10" s="9" t="s">
        <v>163</v>
      </c>
      <c r="G10" t="s">
        <v>131</v>
      </c>
      <c r="H10" t="s">
        <v>164</v>
      </c>
      <c r="I10" t="s">
        <v>165</v>
      </c>
    </row>
    <row r="11" spans="2:9" x14ac:dyDescent="0.25">
      <c r="B11" s="11" t="s">
        <v>39</v>
      </c>
      <c r="C11" s="31" t="s">
        <v>166</v>
      </c>
      <c r="D11" s="32">
        <v>4.68</v>
      </c>
      <c r="E11" s="32">
        <v>9.36</v>
      </c>
      <c r="F11" s="9" t="s">
        <v>167</v>
      </c>
      <c r="G11" t="s">
        <v>122</v>
      </c>
      <c r="H11" t="s">
        <v>39</v>
      </c>
      <c r="I11" t="s">
        <v>168</v>
      </c>
    </row>
    <row r="13" spans="2:6" x14ac:dyDescent="0.25">
      <c r="B13" s="27">
        <v>2</v>
      </c>
      <c r="C13" s="28" t="s">
        <v>128</v>
      </c>
      <c r="D13" s="29">
        <f>SUM(D14:D14)</f>
        <v>0</v>
      </c>
      <c r="E13" s="29">
        <f>SUM(E14:E14)</f>
        <v>0</v>
      </c>
      <c r="F13" s="30" t="s">
        <v>39</v>
      </c>
    </row>
    <row r="14" spans="2:9" x14ac:dyDescent="0.25">
      <c r="B14" s="11" t="s">
        <v>39</v>
      </c>
      <c r="C14" s="31" t="s">
        <v>169</v>
      </c>
      <c r="D14" s="32">
        <v>0</v>
      </c>
      <c r="E14" s="32">
        <v>0</v>
      </c>
      <c r="F14" s="9" t="s">
        <v>170</v>
      </c>
      <c r="G14" t="s">
        <v>131</v>
      </c>
      <c r="H14" t="s">
        <v>171</v>
      </c>
      <c r="I14" t="s">
        <v>172</v>
      </c>
    </row>
    <row r="16" spans="2:6" x14ac:dyDescent="0.25">
      <c r="B16" s="27">
        <v>3</v>
      </c>
      <c r="C16" s="28" t="s">
        <v>173</v>
      </c>
      <c r="D16" s="29">
        <f>SUM(D17:D17)</f>
        <v>0</v>
      </c>
      <c r="E16" s="29">
        <f>SUM(E17:E17)</f>
        <v>0</v>
      </c>
      <c r="F16" s="30" t="s">
        <v>39</v>
      </c>
    </row>
    <row r="17" spans="2:9" x14ac:dyDescent="0.25">
      <c r="B17" s="11" t="s">
        <v>39</v>
      </c>
      <c r="C17" s="31" t="s">
        <v>174</v>
      </c>
      <c r="D17" s="32">
        <v>0</v>
      </c>
      <c r="E17" s="32">
        <v>0</v>
      </c>
      <c r="F17" s="9" t="s">
        <v>175</v>
      </c>
      <c r="G17" t="s">
        <v>131</v>
      </c>
      <c r="H17" t="s">
        <v>176</v>
      </c>
      <c r="I17" t="s">
        <v>177</v>
      </c>
    </row>
    <row r="19" spans="2:6" x14ac:dyDescent="0.25">
      <c r="B19" s="27">
        <v>4</v>
      </c>
      <c r="C19" s="28" t="s">
        <v>138</v>
      </c>
      <c r="D19" s="29">
        <f>SUM(D20:D20)</f>
        <v>0</v>
      </c>
      <c r="E19" s="29">
        <f>SUM(E20:E20)</f>
        <v>0</v>
      </c>
      <c r="F19" s="30" t="s">
        <v>39</v>
      </c>
    </row>
    <row r="20" spans="2:9" x14ac:dyDescent="0.25">
      <c r="B20" s="11" t="s">
        <v>39</v>
      </c>
      <c r="C20" s="31" t="s">
        <v>178</v>
      </c>
      <c r="D20" s="32">
        <v>0</v>
      </c>
      <c r="E20" s="32">
        <v>0</v>
      </c>
      <c r="F20" s="9" t="s">
        <v>179</v>
      </c>
      <c r="G20" t="s">
        <v>131</v>
      </c>
      <c r="H20" t="s">
        <v>180</v>
      </c>
      <c r="I20" t="s">
        <v>181</v>
      </c>
    </row>
    <row r="22" spans="2:6" x14ac:dyDescent="0.25">
      <c r="B22" s="27">
        <v>5</v>
      </c>
      <c r="C22" s="28" t="s">
        <v>182</v>
      </c>
      <c r="D22" s="29">
        <f>SUM(D23:D24)</f>
        <v>0</v>
      </c>
      <c r="E22" s="29">
        <f>SUM(E23:E24)</f>
        <v>0</v>
      </c>
      <c r="F22" s="30" t="s">
        <v>39</v>
      </c>
    </row>
    <row r="23" spans="2:9" x14ac:dyDescent="0.25">
      <c r="B23" s="11" t="s">
        <v>39</v>
      </c>
      <c r="C23" s="31" t="s">
        <v>183</v>
      </c>
      <c r="D23" s="32">
        <v>0</v>
      </c>
      <c r="E23" s="32">
        <v>0</v>
      </c>
      <c r="F23" s="9" t="s">
        <v>184</v>
      </c>
      <c r="G23" t="s">
        <v>131</v>
      </c>
      <c r="H23" t="s">
        <v>185</v>
      </c>
      <c r="I23" t="s">
        <v>186</v>
      </c>
    </row>
    <row r="24" spans="2:9" x14ac:dyDescent="0.25">
      <c r="B24" s="11" t="s">
        <v>39</v>
      </c>
      <c r="C24" s="31" t="s">
        <v>187</v>
      </c>
      <c r="D24" s="32">
        <v>0</v>
      </c>
      <c r="E24" s="32">
        <v>0</v>
      </c>
      <c r="F24" s="9" t="s">
        <v>188</v>
      </c>
      <c r="G24" t="s">
        <v>131</v>
      </c>
      <c r="H24" t="s">
        <v>189</v>
      </c>
      <c r="I24" t="s">
        <v>190</v>
      </c>
    </row>
    <row r="26" spans="2:6" x14ac:dyDescent="0.25">
      <c r="B26" s="33" t="s">
        <v>39</v>
      </c>
      <c r="C26" s="33" t="s">
        <v>151</v>
      </c>
      <c r="D26" s="34">
        <f>D9+D13+D16+D19+D22</f>
        <v>4.68</v>
      </c>
      <c r="E26" s="34">
        <f>E9+E13+E16+E19+E22</f>
        <v>9.36</v>
      </c>
      <c r="F26" s="35" t="s">
        <v>39</v>
      </c>
    </row>
    <row r="29" spans="2:9" x14ac:dyDescent="0.25">
      <c r="B29" s="24" t="s">
        <v>114</v>
      </c>
      <c r="C29" s="25" t="s">
        <v>152</v>
      </c>
      <c r="D29" s="26" t="s">
        <v>13</v>
      </c>
      <c r="E29" s="26" t="s">
        <v>14</v>
      </c>
      <c r="F29" s="24" t="s">
        <v>15</v>
      </c>
      <c r="G29" s="24" t="s">
        <v>116</v>
      </c>
      <c r="H29" s="24" t="s">
        <v>117</v>
      </c>
      <c r="I29" s="24" t="s">
        <v>118</v>
      </c>
    </row>
    <row r="30" spans="2:6" x14ac:dyDescent="0.25">
      <c r="B30" s="11">
        <v>1</v>
      </c>
      <c r="C30" s="31" t="s">
        <v>153</v>
      </c>
      <c r="D30" s="32">
        <v>0</v>
      </c>
      <c r="E30" s="32">
        <v>0</v>
      </c>
      <c r="F30" s="9" t="s">
        <v>39</v>
      </c>
    </row>
    <row r="31" spans="2:6" x14ac:dyDescent="0.25">
      <c r="B31" s="33" t="s">
        <v>39</v>
      </c>
      <c r="C31" s="33" t="s">
        <v>154</v>
      </c>
      <c r="D31" s="34">
        <f>SUM(D30:D30)</f>
        <v>0</v>
      </c>
      <c r="E31" s="34">
        <f>SUM(E30:E30)</f>
        <v>0</v>
      </c>
      <c r="F31" s="35" t="s">
        <v>39</v>
      </c>
    </row>
    <row r="34" spans="2:9" x14ac:dyDescent="0.25">
      <c r="B34" s="24" t="s">
        <v>114</v>
      </c>
      <c r="C34" s="25" t="s">
        <v>155</v>
      </c>
      <c r="D34" s="26" t="s">
        <v>13</v>
      </c>
      <c r="E34" s="26" t="s">
        <v>14</v>
      </c>
      <c r="F34" s="24" t="s">
        <v>15</v>
      </c>
      <c r="G34" s="24" t="s">
        <v>116</v>
      </c>
      <c r="H34" s="24" t="s">
        <v>117</v>
      </c>
      <c r="I34" s="24" t="s">
        <v>118</v>
      </c>
    </row>
    <row r="35" spans="2:6" x14ac:dyDescent="0.25">
      <c r="B35" s="11">
        <v>1</v>
      </c>
      <c r="C35" s="31" t="s">
        <v>153</v>
      </c>
      <c r="D35" s="32">
        <v>0</v>
      </c>
      <c r="E35" s="32">
        <v>0</v>
      </c>
      <c r="F35" s="9" t="s">
        <v>156</v>
      </c>
    </row>
    <row r="36" spans="2:6" x14ac:dyDescent="0.25">
      <c r="B36" s="33" t="s">
        <v>39</v>
      </c>
      <c r="C36" s="33" t="s">
        <v>157</v>
      </c>
      <c r="D36" s="34">
        <f>SUM(D35:D35)</f>
        <v>0</v>
      </c>
      <c r="E36" s="34">
        <f>SUM(E35:E35)</f>
        <v>0</v>
      </c>
      <c r="F36" s="35" t="s">
        <v>39</v>
      </c>
    </row>
    <row r="39" spans="2:6" x14ac:dyDescent="0.25">
      <c r="B39" s="24" t="s">
        <v>114</v>
      </c>
      <c r="C39" s="25" t="s">
        <v>158</v>
      </c>
      <c r="D39" s="25"/>
      <c r="E39" s="25"/>
      <c r="F39" s="25"/>
    </row>
    <row r="40" spans="2:6" x14ac:dyDescent="0.25">
      <c r="B40" s="11">
        <v>1</v>
      </c>
      <c r="C40" s="31" t="s">
        <v>82</v>
      </c>
      <c r="D40" s="31"/>
      <c r="E40" s="31"/>
      <c r="F40" s="31"/>
    </row>
    <row r="41" spans="2:6" x14ac:dyDescent="0.25">
      <c r="B41" s="11">
        <v>2</v>
      </c>
      <c r="C41" s="31" t="s">
        <v>83</v>
      </c>
      <c r="D41" s="31"/>
      <c r="E41" s="31"/>
      <c r="F41" s="31"/>
    </row>
    <row r="42" spans="2:6" x14ac:dyDescent="0.25">
      <c r="B42" s="11">
        <v>3</v>
      </c>
      <c r="C42" s="31" t="s">
        <v>84</v>
      </c>
      <c r="D42" s="31"/>
      <c r="E42" s="31"/>
      <c r="F42" s="31"/>
    </row>
    <row r="43" spans="2:6" x14ac:dyDescent="0.25">
      <c r="B43" s="11">
        <v>4</v>
      </c>
      <c r="C43" s="31" t="s">
        <v>85</v>
      </c>
      <c r="D43" s="31"/>
      <c r="E43" s="31"/>
      <c r="F43" s="31"/>
    </row>
    <row r="44" spans="2:6" x14ac:dyDescent="0.25">
      <c r="B44" s="11">
        <v>5</v>
      </c>
      <c r="C44" s="31" t="s">
        <v>86</v>
      </c>
      <c r="D44" s="31"/>
      <c r="E44" s="31"/>
      <c r="F44" s="31"/>
    </row>
    <row r="45" spans="2:6" x14ac:dyDescent="0.25">
      <c r="B45" s="11">
        <v>6</v>
      </c>
      <c r="C45" s="31" t="s">
        <v>87</v>
      </c>
      <c r="D45" s="31"/>
      <c r="E45" s="31"/>
      <c r="F45" s="31"/>
    </row>
    <row r="46" spans="2:6" x14ac:dyDescent="0.25">
      <c r="B46" s="11">
        <v>7</v>
      </c>
      <c r="C46" s="31" t="s">
        <v>88</v>
      </c>
      <c r="D46" s="31"/>
      <c r="E46" s="31"/>
      <c r="F46" s="31"/>
    </row>
    <row r="47" spans="2:6" x14ac:dyDescent="0.25">
      <c r="B47" s="11">
        <v>8</v>
      </c>
      <c r="C47" s="31" t="s">
        <v>89</v>
      </c>
      <c r="D47" s="31"/>
      <c r="E47" s="31"/>
      <c r="F47" s="31"/>
    </row>
    <row r="48" spans="2:6" x14ac:dyDescent="0.25">
      <c r="B48" s="11">
        <v>9</v>
      </c>
      <c r="C48" s="31" t="s">
        <v>90</v>
      </c>
      <c r="D48" s="31"/>
      <c r="E48" s="31"/>
      <c r="F48" s="31"/>
    </row>
    <row r="49" spans="2:6" x14ac:dyDescent="0.25">
      <c r="B49" s="11">
        <v>10</v>
      </c>
      <c r="C49" s="31" t="s">
        <v>91</v>
      </c>
      <c r="D49" s="31"/>
      <c r="E49" s="31"/>
      <c r="F49" s="31"/>
    </row>
    <row r="50" spans="2:6" x14ac:dyDescent="0.25">
      <c r="B50" s="11">
        <v>11</v>
      </c>
      <c r="C50" s="31" t="s">
        <v>92</v>
      </c>
      <c r="D50" s="31"/>
      <c r="E50" s="31"/>
      <c r="F50" s="31"/>
    </row>
    <row r="51" spans="2:6" x14ac:dyDescent="0.25">
      <c r="B51" s="11">
        <v>12</v>
      </c>
      <c r="C51" s="31" t="s">
        <v>93</v>
      </c>
      <c r="D51" s="31"/>
      <c r="E51" s="31"/>
      <c r="F51" s="31"/>
    </row>
    <row r="52" spans="2:6" x14ac:dyDescent="0.25">
      <c r="B52" s="11">
        <v>13</v>
      </c>
      <c r="C52" s="31" t="s">
        <v>94</v>
      </c>
      <c r="D52" s="31"/>
      <c r="E52" s="31"/>
      <c r="F52" s="31"/>
    </row>
    <row r="53" spans="2:6" x14ac:dyDescent="0.25">
      <c r="B53" s="11">
        <v>14</v>
      </c>
      <c r="C53" s="31" t="s">
        <v>95</v>
      </c>
      <c r="D53" s="31"/>
      <c r="E53" s="31"/>
      <c r="F53" s="31"/>
    </row>
    <row r="54" spans="2:6" x14ac:dyDescent="0.25">
      <c r="B54" s="11">
        <v>15</v>
      </c>
      <c r="C54" s="31" t="s">
        <v>96</v>
      </c>
      <c r="D54" s="31"/>
      <c r="E54" s="31"/>
      <c r="F54" s="31"/>
    </row>
    <row r="55" spans="2:6" x14ac:dyDescent="0.25">
      <c r="B55" s="11">
        <v>16</v>
      </c>
      <c r="C55" s="31" t="s">
        <v>97</v>
      </c>
      <c r="D55" s="31"/>
      <c r="E55" s="31"/>
      <c r="F55" s="31"/>
    </row>
    <row r="56" spans="2:6" x14ac:dyDescent="0.25">
      <c r="B56" s="11">
        <v>17</v>
      </c>
      <c r="C56" s="31" t="s">
        <v>98</v>
      </c>
      <c r="D56" s="31"/>
      <c r="E56" s="31"/>
      <c r="F56" s="31"/>
    </row>
    <row r="57" spans="2:6" x14ac:dyDescent="0.25">
      <c r="B57" s="11">
        <v>18</v>
      </c>
      <c r="C57" s="31" t="s">
        <v>99</v>
      </c>
      <c r="D57" s="31"/>
      <c r="E57" s="31"/>
      <c r="F57" s="31"/>
    </row>
    <row r="58" spans="2:6" x14ac:dyDescent="0.25">
      <c r="B58" s="11">
        <v>19</v>
      </c>
      <c r="C58" s="31" t="s">
        <v>100</v>
      </c>
      <c r="D58" s="31"/>
      <c r="E58" s="31"/>
      <c r="F58" s="31"/>
    </row>
    <row r="59" spans="2:6" x14ac:dyDescent="0.25">
      <c r="B59" s="11">
        <v>20</v>
      </c>
      <c r="C59" s="31" t="s">
        <v>101</v>
      </c>
      <c r="D59" s="31"/>
      <c r="E59" s="31"/>
      <c r="F59" s="31"/>
    </row>
    <row r="60" spans="2:6" x14ac:dyDescent="0.25">
      <c r="B60" s="11">
        <v>21</v>
      </c>
      <c r="C60" s="31" t="s">
        <v>102</v>
      </c>
      <c r="D60" s="31"/>
      <c r="E60" s="31"/>
      <c r="F60" s="31"/>
    </row>
    <row r="61" spans="2:6" x14ac:dyDescent="0.25">
      <c r="B61" s="11">
        <v>22</v>
      </c>
      <c r="C61" s="31" t="s">
        <v>103</v>
      </c>
      <c r="D61" s="31"/>
      <c r="E61" s="31"/>
      <c r="F61" s="31"/>
    </row>
    <row r="62" spans="2:6" x14ac:dyDescent="0.25">
      <c r="B62" s="11">
        <v>23</v>
      </c>
      <c r="C62" s="31" t="s">
        <v>104</v>
      </c>
      <c r="D62" s="31"/>
      <c r="E62" s="31"/>
      <c r="F62" s="31"/>
    </row>
    <row r="63" spans="2:6" x14ac:dyDescent="0.25">
      <c r="B63" s="11">
        <v>24</v>
      </c>
      <c r="C63" s="31" t="s">
        <v>105</v>
      </c>
      <c r="D63" s="31"/>
      <c r="E63" s="31"/>
      <c r="F63" s="31"/>
    </row>
    <row r="64" spans="2:6" x14ac:dyDescent="0.25">
      <c r="B64" s="11">
        <v>25</v>
      </c>
      <c r="C64" s="31" t="s">
        <v>106</v>
      </c>
      <c r="D64" s="31"/>
      <c r="E64" s="31"/>
      <c r="F64" s="31"/>
    </row>
    <row r="65" spans="2:6" x14ac:dyDescent="0.25">
      <c r="B65" s="11">
        <v>26</v>
      </c>
      <c r="C65" s="31" t="s">
        <v>107</v>
      </c>
      <c r="D65" s="31"/>
      <c r="E65" s="31"/>
      <c r="F65" s="31"/>
    </row>
    <row r="66" spans="2:6" x14ac:dyDescent="0.25">
      <c r="B66" s="11">
        <v>27</v>
      </c>
      <c r="C66" s="31" t="s">
        <v>108</v>
      </c>
      <c r="D66" s="31"/>
      <c r="E66" s="31"/>
      <c r="F66" s="31"/>
    </row>
    <row r="67" spans="2:6" x14ac:dyDescent="0.25">
      <c r="B67" s="11">
        <v>28</v>
      </c>
      <c r="C67" s="31" t="s">
        <v>109</v>
      </c>
      <c r="D67" s="31"/>
      <c r="E67" s="31"/>
      <c r="F67" s="31"/>
    </row>
    <row r="70" spans="2:6" x14ac:dyDescent="0.25">
      <c r="B70" s="24" t="s">
        <v>114</v>
      </c>
      <c r="C70" s="25" t="s">
        <v>159</v>
      </c>
      <c r="D70" s="25"/>
      <c r="E70" s="25"/>
      <c r="F70" s="25"/>
    </row>
    <row r="71" spans="2:6" x14ac:dyDescent="0.25">
      <c r="B71" s="11">
        <v>1</v>
      </c>
      <c r="C71" s="31" t="s">
        <v>160</v>
      </c>
      <c r="D71" s="31"/>
      <c r="E71" s="31"/>
      <c r="F71" s="31"/>
    </row>
  </sheetData>
  <mergeCells count="34">
    <mergeCell ref="B2:F2"/>
    <mergeCell ref="B3:F3"/>
    <mergeCell ref="B4:F4"/>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70:F70"/>
    <mergeCell ref="C71:F7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65"/>
  <sheetFormatPr defaultRowHeight="15" outlineLevelRow="0" outlineLevelCol="0" x14ac:dyDescent="55"/>
  <cols>
    <col min="1" max="2" width="7.75" customWidth="1"/>
    <col min="3" max="3" width="43.25" customWidth="1"/>
    <col min="4" max="5" width="12" customWidth="1"/>
    <col min="6" max="6" width="45.25" customWidth="1"/>
    <col min="7" max="7" width="11" customWidth="1"/>
    <col min="8" max="8" width="22" customWidth="1"/>
    <col min="10" max="11" width="12" customWidth="1"/>
    <col min="12" max="26" width="7.75" customWidth="1"/>
  </cols>
  <sheetData>
    <row r="2" spans="2:6" x14ac:dyDescent="0.25">
      <c r="B2" s="18" t="s">
        <v>191</v>
      </c>
      <c r="C2" s="18"/>
      <c r="D2" s="18"/>
      <c r="E2" s="18"/>
      <c r="F2" s="18"/>
    </row>
    <row r="3" spans="2:6" x14ac:dyDescent="0.25">
      <c r="B3" s="19" t="s">
        <v>8</v>
      </c>
      <c r="C3" s="19"/>
      <c r="D3" s="19"/>
      <c r="E3" s="19"/>
      <c r="F3" s="19"/>
    </row>
    <row r="4" spans="2:6" x14ac:dyDescent="0.25">
      <c r="B4" s="20" t="s">
        <v>111</v>
      </c>
      <c r="C4" s="20"/>
      <c r="D4" s="20"/>
      <c r="E4" s="20"/>
      <c r="F4" s="20"/>
    </row>
    <row r="6" spans="3:6" x14ac:dyDescent="0.25">
      <c r="C6" s="21" t="s">
        <v>192</v>
      </c>
      <c r="D6" s="22">
        <f>D24</f>
        <v>4</v>
      </c>
      <c r="E6" s="22">
        <f>E24</f>
        <v>8</v>
      </c>
      <c r="F6" s="23" t="s">
        <v>193</v>
      </c>
    </row>
    <row r="8" spans="2:9" x14ac:dyDescent="0.25">
      <c r="B8" s="24" t="s">
        <v>114</v>
      </c>
      <c r="C8" s="25" t="s">
        <v>194</v>
      </c>
      <c r="D8" s="26" t="s">
        <v>13</v>
      </c>
      <c r="E8" s="26" t="s">
        <v>14</v>
      </c>
      <c r="F8" s="24" t="s">
        <v>15</v>
      </c>
      <c r="G8" s="24" t="s">
        <v>116</v>
      </c>
      <c r="H8" s="24" t="s">
        <v>117</v>
      </c>
      <c r="I8" s="24" t="s">
        <v>118</v>
      </c>
    </row>
    <row r="9" spans="2:6" x14ac:dyDescent="0.25">
      <c r="B9" s="27">
        <v>1</v>
      </c>
      <c r="C9" s="28" t="s">
        <v>195</v>
      </c>
      <c r="D9" s="29">
        <v>0</v>
      </c>
      <c r="E9" s="29">
        <v>0</v>
      </c>
      <c r="F9" s="30" t="s">
        <v>196</v>
      </c>
    </row>
    <row r="10" spans="2:6" x14ac:dyDescent="0.25">
      <c r="B10" s="27">
        <v>2</v>
      </c>
      <c r="C10" s="28" t="s">
        <v>197</v>
      </c>
      <c r="D10" s="29">
        <v>0</v>
      </c>
      <c r="E10" s="29">
        <v>0</v>
      </c>
      <c r="F10" s="30" t="s">
        <v>198</v>
      </c>
    </row>
    <row r="11" spans="2:6" x14ac:dyDescent="0.25">
      <c r="B11" s="27">
        <v>3</v>
      </c>
      <c r="C11" s="28" t="s">
        <v>199</v>
      </c>
      <c r="D11" s="29">
        <f>SUM(D12:D15)</f>
        <v>0</v>
      </c>
      <c r="E11" s="29">
        <f>SUM(E12:E15)</f>
        <v>0</v>
      </c>
      <c r="F11" s="30" t="s">
        <v>200</v>
      </c>
    </row>
    <row r="12" spans="2:9" x14ac:dyDescent="0.25">
      <c r="B12" s="11" t="s">
        <v>39</v>
      </c>
      <c r="C12" s="31" t="s">
        <v>201</v>
      </c>
      <c r="D12" s="32">
        <v>0</v>
      </c>
      <c r="E12" s="32">
        <v>0</v>
      </c>
      <c r="F12" s="9" t="s">
        <v>202</v>
      </c>
      <c r="G12" t="s">
        <v>131</v>
      </c>
      <c r="H12" t="s">
        <v>171</v>
      </c>
      <c r="I12" t="s">
        <v>203</v>
      </c>
    </row>
    <row r="13" spans="2:9" x14ac:dyDescent="0.25">
      <c r="B13" s="11" t="s">
        <v>39</v>
      </c>
      <c r="C13" s="31" t="s">
        <v>204</v>
      </c>
      <c r="D13" s="32">
        <v>0</v>
      </c>
      <c r="E13" s="32">
        <v>0</v>
      </c>
      <c r="F13" s="9" t="s">
        <v>205</v>
      </c>
      <c r="G13" t="s">
        <v>131</v>
      </c>
      <c r="H13" t="s">
        <v>206</v>
      </c>
      <c r="I13" t="s">
        <v>207</v>
      </c>
    </row>
    <row r="14" spans="2:9" x14ac:dyDescent="0.25">
      <c r="B14" s="11" t="s">
        <v>39</v>
      </c>
      <c r="C14" s="31" t="s">
        <v>208</v>
      </c>
      <c r="D14" s="32">
        <v>0</v>
      </c>
      <c r="E14" s="32">
        <v>0</v>
      </c>
      <c r="F14" s="9" t="s">
        <v>209</v>
      </c>
      <c r="G14" t="s">
        <v>131</v>
      </c>
      <c r="H14" t="s">
        <v>210</v>
      </c>
      <c r="I14" t="s">
        <v>211</v>
      </c>
    </row>
    <row r="15" spans="2:9" x14ac:dyDescent="0.25">
      <c r="B15" s="11" t="s">
        <v>39</v>
      </c>
      <c r="C15" s="31" t="s">
        <v>212</v>
      </c>
      <c r="D15" s="32">
        <v>0</v>
      </c>
      <c r="E15" s="32">
        <v>0</v>
      </c>
      <c r="F15" s="9" t="s">
        <v>213</v>
      </c>
      <c r="G15" t="s">
        <v>131</v>
      </c>
      <c r="H15" t="s">
        <v>214</v>
      </c>
      <c r="I15" t="s">
        <v>215</v>
      </c>
    </row>
    <row r="16" spans="2:6" x14ac:dyDescent="0.25">
      <c r="B16" s="27">
        <v>4</v>
      </c>
      <c r="C16" s="28" t="s">
        <v>216</v>
      </c>
      <c r="D16" s="29">
        <f>SUM(D17:D17)</f>
        <v>0</v>
      </c>
      <c r="E16" s="29">
        <f>SUM(E17:E17)</f>
        <v>0</v>
      </c>
      <c r="F16" s="30" t="s">
        <v>217</v>
      </c>
    </row>
    <row r="17" spans="3:5" x14ac:dyDescent="0.25">
      <c r="C17" s="31" t="s">
        <v>218</v>
      </c>
      <c r="D17" s="32">
        <f>D30</f>
        <v>0</v>
      </c>
      <c r="E17" s="32">
        <f>E30</f>
        <v>0</v>
      </c>
    </row>
    <row r="18" spans="2:6" x14ac:dyDescent="0.25">
      <c r="B18" s="27">
        <v>5</v>
      </c>
      <c r="C18" s="28" t="s">
        <v>219</v>
      </c>
      <c r="D18" s="29">
        <v>0</v>
      </c>
      <c r="E18" s="29">
        <v>0</v>
      </c>
      <c r="F18" s="30" t="s">
        <v>220</v>
      </c>
    </row>
    <row r="19" spans="2:6" x14ac:dyDescent="0.25">
      <c r="B19" s="27">
        <v>6</v>
      </c>
      <c r="C19" s="28" t="s">
        <v>221</v>
      </c>
      <c r="D19" s="29">
        <f>SUM(D20:D20)</f>
        <v>0</v>
      </c>
      <c r="E19" s="29">
        <f>SUM(E20:E20)</f>
        <v>0</v>
      </c>
      <c r="F19" s="30" t="s">
        <v>222</v>
      </c>
    </row>
    <row r="20" spans="2:9" x14ac:dyDescent="0.25">
      <c r="B20" s="11" t="s">
        <v>39</v>
      </c>
      <c r="C20" s="31" t="s">
        <v>223</v>
      </c>
      <c r="D20" s="32">
        <v>0</v>
      </c>
      <c r="E20" s="32">
        <v>0</v>
      </c>
      <c r="F20" s="9" t="s">
        <v>224</v>
      </c>
      <c r="G20" t="s">
        <v>131</v>
      </c>
      <c r="H20" t="s">
        <v>225</v>
      </c>
      <c r="I20" t="s">
        <v>226</v>
      </c>
    </row>
    <row r="21" spans="2:6" x14ac:dyDescent="0.25">
      <c r="B21" s="27">
        <v>7</v>
      </c>
      <c r="C21" s="28" t="s">
        <v>227</v>
      </c>
      <c r="D21" s="29">
        <f>SUM(D22:D22)</f>
        <v>4</v>
      </c>
      <c r="E21" s="29">
        <f>SUM(E22:E22)</f>
        <v>8</v>
      </c>
      <c r="F21" s="30" t="s">
        <v>228</v>
      </c>
    </row>
    <row r="22" spans="2:9" x14ac:dyDescent="0.25">
      <c r="B22" s="11" t="s">
        <v>39</v>
      </c>
      <c r="C22" s="31" t="s">
        <v>229</v>
      </c>
      <c r="D22" s="32">
        <v>4</v>
      </c>
      <c r="E22" s="32">
        <v>8</v>
      </c>
      <c r="F22" s="9" t="s">
        <v>230</v>
      </c>
      <c r="G22" t="s">
        <v>231</v>
      </c>
      <c r="H22" t="s">
        <v>39</v>
      </c>
      <c r="I22" t="s">
        <v>232</v>
      </c>
    </row>
    <row r="23" spans="2:6" x14ac:dyDescent="0.25">
      <c r="B23" s="27">
        <v>8</v>
      </c>
      <c r="C23" s="28" t="s">
        <v>233</v>
      </c>
      <c r="D23" s="29">
        <v>0</v>
      </c>
      <c r="E23" s="29">
        <v>0</v>
      </c>
      <c r="F23" s="30" t="s">
        <v>234</v>
      </c>
    </row>
    <row r="24" spans="2:6" x14ac:dyDescent="0.25">
      <c r="B24" s="33" t="s">
        <v>39</v>
      </c>
      <c r="C24" s="33" t="s">
        <v>235</v>
      </c>
      <c r="D24" s="34">
        <f>D9+D10+D11+D16+D18+D19+D21+D23</f>
        <v>4</v>
      </c>
      <c r="E24" s="34">
        <f>E9+E10+E11+E16+E18+E19+E21+E23</f>
        <v>8</v>
      </c>
      <c r="F24" s="35" t="s">
        <v>236</v>
      </c>
    </row>
    <row r="27" spans="2:9" x14ac:dyDescent="0.25">
      <c r="B27" s="24" t="s">
        <v>114</v>
      </c>
      <c r="C27" s="25" t="s">
        <v>237</v>
      </c>
      <c r="D27" s="26" t="s">
        <v>13</v>
      </c>
      <c r="E27" s="26" t="s">
        <v>14</v>
      </c>
      <c r="F27" s="24" t="s">
        <v>15</v>
      </c>
      <c r="G27" s="24" t="s">
        <v>116</v>
      </c>
      <c r="H27" s="24" t="s">
        <v>117</v>
      </c>
      <c r="I27" s="24" t="s">
        <v>118</v>
      </c>
    </row>
    <row r="28" spans="3:3" x14ac:dyDescent="0.25">
      <c r="C28" s="28" t="s">
        <v>218</v>
      </c>
    </row>
    <row r="29" spans="2:9" x14ac:dyDescent="0.25">
      <c r="B29" s="11">
        <v>1</v>
      </c>
      <c r="C29" s="31" t="s">
        <v>238</v>
      </c>
      <c r="D29" s="32">
        <v>0</v>
      </c>
      <c r="E29" s="32">
        <v>0</v>
      </c>
      <c r="F29" s="9" t="s">
        <v>239</v>
      </c>
      <c r="G29" t="s">
        <v>131</v>
      </c>
      <c r="H29" t="s">
        <v>240</v>
      </c>
      <c r="I29" t="s">
        <v>241</v>
      </c>
    </row>
    <row r="30" spans="2:6" x14ac:dyDescent="0.25">
      <c r="B30" s="33" t="s">
        <v>39</v>
      </c>
      <c r="C30" s="33" t="s">
        <v>242</v>
      </c>
      <c r="D30" s="34">
        <f>D29</f>
        <v>0</v>
      </c>
      <c r="E30" s="34">
        <f>E29</f>
        <v>0</v>
      </c>
      <c r="F30" s="35" t="s">
        <v>243</v>
      </c>
    </row>
    <row r="33" spans="2:6" x14ac:dyDescent="0.25">
      <c r="B33" s="24" t="s">
        <v>114</v>
      </c>
      <c r="C33" s="25" t="s">
        <v>158</v>
      </c>
      <c r="D33" s="25"/>
      <c r="E33" s="25"/>
      <c r="F33" s="25"/>
    </row>
    <row r="34" spans="2:6" x14ac:dyDescent="0.25">
      <c r="B34" s="11">
        <v>1</v>
      </c>
      <c r="C34" s="31" t="s">
        <v>82</v>
      </c>
      <c r="D34" s="31"/>
      <c r="E34" s="31"/>
      <c r="F34" s="31"/>
    </row>
    <row r="35" spans="2:6" x14ac:dyDescent="0.25">
      <c r="B35" s="11">
        <v>2</v>
      </c>
      <c r="C35" s="31" t="s">
        <v>83</v>
      </c>
      <c r="D35" s="31"/>
      <c r="E35" s="31"/>
      <c r="F35" s="31"/>
    </row>
    <row r="36" spans="2:6" x14ac:dyDescent="0.25">
      <c r="B36" s="11">
        <v>3</v>
      </c>
      <c r="C36" s="31" t="s">
        <v>84</v>
      </c>
      <c r="D36" s="31"/>
      <c r="E36" s="31"/>
      <c r="F36" s="31"/>
    </row>
    <row r="37" spans="2:6" x14ac:dyDescent="0.25">
      <c r="B37" s="11">
        <v>4</v>
      </c>
      <c r="C37" s="31" t="s">
        <v>85</v>
      </c>
      <c r="D37" s="31"/>
      <c r="E37" s="31"/>
      <c r="F37" s="31"/>
    </row>
    <row r="38" spans="2:6" x14ac:dyDescent="0.25">
      <c r="B38" s="11">
        <v>5</v>
      </c>
      <c r="C38" s="31" t="s">
        <v>86</v>
      </c>
      <c r="D38" s="31"/>
      <c r="E38" s="31"/>
      <c r="F38" s="31"/>
    </row>
    <row r="39" spans="2:6" x14ac:dyDescent="0.25">
      <c r="B39" s="11">
        <v>6</v>
      </c>
      <c r="C39" s="31" t="s">
        <v>87</v>
      </c>
      <c r="D39" s="31"/>
      <c r="E39" s="31"/>
      <c r="F39" s="31"/>
    </row>
    <row r="40" spans="2:6" x14ac:dyDescent="0.25">
      <c r="B40" s="11">
        <v>7</v>
      </c>
      <c r="C40" s="31" t="s">
        <v>88</v>
      </c>
      <c r="D40" s="31"/>
      <c r="E40" s="31"/>
      <c r="F40" s="31"/>
    </row>
    <row r="41" spans="2:6" x14ac:dyDescent="0.25">
      <c r="B41" s="11">
        <v>8</v>
      </c>
      <c r="C41" s="31" t="s">
        <v>89</v>
      </c>
      <c r="D41" s="31"/>
      <c r="E41" s="31"/>
      <c r="F41" s="31"/>
    </row>
    <row r="42" spans="2:6" x14ac:dyDescent="0.25">
      <c r="B42" s="11">
        <v>9</v>
      </c>
      <c r="C42" s="31" t="s">
        <v>90</v>
      </c>
      <c r="D42" s="31"/>
      <c r="E42" s="31"/>
      <c r="F42" s="31"/>
    </row>
    <row r="43" spans="2:6" x14ac:dyDescent="0.25">
      <c r="B43" s="11">
        <v>10</v>
      </c>
      <c r="C43" s="31" t="s">
        <v>91</v>
      </c>
      <c r="D43" s="31"/>
      <c r="E43" s="31"/>
      <c r="F43" s="31"/>
    </row>
    <row r="44" spans="2:6" x14ac:dyDescent="0.25">
      <c r="B44" s="11">
        <v>11</v>
      </c>
      <c r="C44" s="31" t="s">
        <v>92</v>
      </c>
      <c r="D44" s="31"/>
      <c r="E44" s="31"/>
      <c r="F44" s="31"/>
    </row>
    <row r="45" spans="2:6" x14ac:dyDescent="0.25">
      <c r="B45" s="11">
        <v>12</v>
      </c>
      <c r="C45" s="31" t="s">
        <v>93</v>
      </c>
      <c r="D45" s="31"/>
      <c r="E45" s="31"/>
      <c r="F45" s="31"/>
    </row>
    <row r="46" spans="2:6" x14ac:dyDescent="0.25">
      <c r="B46" s="11">
        <v>13</v>
      </c>
      <c r="C46" s="31" t="s">
        <v>94</v>
      </c>
      <c r="D46" s="31"/>
      <c r="E46" s="31"/>
      <c r="F46" s="31"/>
    </row>
    <row r="47" spans="2:6" x14ac:dyDescent="0.25">
      <c r="B47" s="11">
        <v>14</v>
      </c>
      <c r="C47" s="31" t="s">
        <v>95</v>
      </c>
      <c r="D47" s="31"/>
      <c r="E47" s="31"/>
      <c r="F47" s="31"/>
    </row>
    <row r="48" spans="2:6" x14ac:dyDescent="0.25">
      <c r="B48" s="11">
        <v>15</v>
      </c>
      <c r="C48" s="31" t="s">
        <v>96</v>
      </c>
      <c r="D48" s="31"/>
      <c r="E48" s="31"/>
      <c r="F48" s="31"/>
    </row>
    <row r="49" spans="2:6" x14ac:dyDescent="0.25">
      <c r="B49" s="11">
        <v>16</v>
      </c>
      <c r="C49" s="31" t="s">
        <v>97</v>
      </c>
      <c r="D49" s="31"/>
      <c r="E49" s="31"/>
      <c r="F49" s="31"/>
    </row>
    <row r="50" spans="2:6" x14ac:dyDescent="0.25">
      <c r="B50" s="11">
        <v>17</v>
      </c>
      <c r="C50" s="31" t="s">
        <v>98</v>
      </c>
      <c r="D50" s="31"/>
      <c r="E50" s="31"/>
      <c r="F50" s="31"/>
    </row>
    <row r="51" spans="2:6" x14ac:dyDescent="0.25">
      <c r="B51" s="11">
        <v>18</v>
      </c>
      <c r="C51" s="31" t="s">
        <v>99</v>
      </c>
      <c r="D51" s="31"/>
      <c r="E51" s="31"/>
      <c r="F51" s="31"/>
    </row>
    <row r="52" spans="2:6" x14ac:dyDescent="0.25">
      <c r="B52" s="11">
        <v>19</v>
      </c>
      <c r="C52" s="31" t="s">
        <v>100</v>
      </c>
      <c r="D52" s="31"/>
      <c r="E52" s="31"/>
      <c r="F52" s="31"/>
    </row>
    <row r="53" spans="2:6" x14ac:dyDescent="0.25">
      <c r="B53" s="11">
        <v>20</v>
      </c>
      <c r="C53" s="31" t="s">
        <v>101</v>
      </c>
      <c r="D53" s="31"/>
      <c r="E53" s="31"/>
      <c r="F53" s="31"/>
    </row>
    <row r="54" spans="2:6" x14ac:dyDescent="0.25">
      <c r="B54" s="11">
        <v>21</v>
      </c>
      <c r="C54" s="31" t="s">
        <v>102</v>
      </c>
      <c r="D54" s="31"/>
      <c r="E54" s="31"/>
      <c r="F54" s="31"/>
    </row>
    <row r="55" spans="2:6" x14ac:dyDescent="0.25">
      <c r="B55" s="11">
        <v>22</v>
      </c>
      <c r="C55" s="31" t="s">
        <v>103</v>
      </c>
      <c r="D55" s="31"/>
      <c r="E55" s="31"/>
      <c r="F55" s="31"/>
    </row>
    <row r="56" spans="2:6" x14ac:dyDescent="0.25">
      <c r="B56" s="11">
        <v>23</v>
      </c>
      <c r="C56" s="31" t="s">
        <v>104</v>
      </c>
      <c r="D56" s="31"/>
      <c r="E56" s="31"/>
      <c r="F56" s="31"/>
    </row>
    <row r="57" spans="2:6" x14ac:dyDescent="0.25">
      <c r="B57" s="11">
        <v>24</v>
      </c>
      <c r="C57" s="31" t="s">
        <v>105</v>
      </c>
      <c r="D57" s="31"/>
      <c r="E57" s="31"/>
      <c r="F57" s="31"/>
    </row>
    <row r="58" spans="2:6" x14ac:dyDescent="0.25">
      <c r="B58" s="11">
        <v>25</v>
      </c>
      <c r="C58" s="31" t="s">
        <v>106</v>
      </c>
      <c r="D58" s="31"/>
      <c r="E58" s="31"/>
      <c r="F58" s="31"/>
    </row>
    <row r="59" spans="2:6" x14ac:dyDescent="0.25">
      <c r="B59" s="11">
        <v>26</v>
      </c>
      <c r="C59" s="31" t="s">
        <v>107</v>
      </c>
      <c r="D59" s="31"/>
      <c r="E59" s="31"/>
      <c r="F59" s="31"/>
    </row>
    <row r="60" spans="2:6" x14ac:dyDescent="0.25">
      <c r="B60" s="11">
        <v>27</v>
      </c>
      <c r="C60" s="31" t="s">
        <v>108</v>
      </c>
      <c r="D60" s="31"/>
      <c r="E60" s="31"/>
      <c r="F60" s="31"/>
    </row>
    <row r="61" spans="2:6" x14ac:dyDescent="0.25">
      <c r="B61" s="11">
        <v>28</v>
      </c>
      <c r="C61" s="31" t="s">
        <v>109</v>
      </c>
      <c r="D61" s="31"/>
      <c r="E61" s="31"/>
      <c r="F61" s="31"/>
    </row>
    <row r="64" spans="2:6" x14ac:dyDescent="0.25">
      <c r="B64" s="24" t="s">
        <v>114</v>
      </c>
      <c r="C64" s="25" t="s">
        <v>159</v>
      </c>
      <c r="D64" s="25"/>
      <c r="E64" s="25"/>
      <c r="F64" s="25"/>
    </row>
    <row r="65" spans="2:6" x14ac:dyDescent="0.25">
      <c r="B65" s="11">
        <v>1</v>
      </c>
      <c r="C65" s="31" t="s">
        <v>160</v>
      </c>
      <c r="D65" s="31"/>
      <c r="E65" s="31"/>
      <c r="F65" s="31"/>
    </row>
  </sheetData>
  <mergeCells count="34">
    <mergeCell ref="B2:F2"/>
    <mergeCell ref="B3:F3"/>
    <mergeCell ref="B4:F4"/>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4:F64"/>
    <mergeCell ref="C65:F65"/>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21"/>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1" width="12" customWidth="1"/>
    <col min="12" max="26" width="7.75" customWidth="1"/>
  </cols>
  <sheetData>
    <row r="2" spans="2:6" x14ac:dyDescent="0.25">
      <c r="B2" s="18" t="s">
        <v>244</v>
      </c>
      <c r="C2" s="18"/>
      <c r="D2" s="18"/>
      <c r="E2" s="18"/>
      <c r="F2" s="18"/>
    </row>
    <row r="3" spans="2:6" x14ac:dyDescent="0.25">
      <c r="B3" s="19" t="s">
        <v>8</v>
      </c>
      <c r="C3" s="19"/>
      <c r="D3" s="19"/>
      <c r="E3" s="19"/>
      <c r="F3" s="19"/>
    </row>
    <row r="4" spans="2:6" x14ac:dyDescent="0.25">
      <c r="B4" s="20" t="s">
        <v>111</v>
      </c>
      <c r="C4" s="20"/>
      <c r="D4" s="20"/>
      <c r="E4" s="20"/>
      <c r="F4" s="20"/>
    </row>
    <row r="5" spans="2:2" x14ac:dyDescent="0.25">
      <c r="B5" s="36" t="s">
        <v>161</v>
      </c>
    </row>
    <row r="6" spans="3:6" x14ac:dyDescent="0.25">
      <c r="C6" s="21" t="s">
        <v>112</v>
      </c>
      <c r="D6" s="22">
        <f>D11+D16+D21</f>
        <v>0</v>
      </c>
      <c r="E6" s="22">
        <f>E11+E16+E21</f>
        <v>0</v>
      </c>
      <c r="F6" s="23" t="s">
        <v>113</v>
      </c>
    </row>
    <row r="8" spans="2:9" x14ac:dyDescent="0.25">
      <c r="B8" s="24" t="s">
        <v>114</v>
      </c>
      <c r="C8" s="25" t="s">
        <v>115</v>
      </c>
      <c r="D8" s="26" t="s">
        <v>13</v>
      </c>
      <c r="E8" s="26" t="s">
        <v>14</v>
      </c>
      <c r="F8" s="24" t="s">
        <v>15</v>
      </c>
      <c r="G8" s="24" t="s">
        <v>116</v>
      </c>
      <c r="H8" s="24" t="s">
        <v>117</v>
      </c>
      <c r="I8" s="24" t="s">
        <v>118</v>
      </c>
    </row>
    <row r="9" spans="3:5" x14ac:dyDescent="0.25">
      <c r="C9" s="31" t="s">
        <v>153</v>
      </c>
      <c r="D9" s="32">
        <v>0</v>
      </c>
      <c r="E9" s="32">
        <v>0</v>
      </c>
    </row>
    <row r="11" spans="2:6" x14ac:dyDescent="0.25">
      <c r="B11" s="33" t="s">
        <v>39</v>
      </c>
      <c r="C11" s="33" t="s">
        <v>151</v>
      </c>
      <c r="D11" s="34">
        <f>D9</f>
        <v>0</v>
      </c>
      <c r="E11" s="34">
        <f>E9</f>
        <v>0</v>
      </c>
      <c r="F11" s="35" t="s">
        <v>39</v>
      </c>
    </row>
    <row r="14" spans="2:9" x14ac:dyDescent="0.25">
      <c r="B14" s="24" t="s">
        <v>114</v>
      </c>
      <c r="C14" s="25" t="s">
        <v>152</v>
      </c>
      <c r="D14" s="26" t="s">
        <v>13</v>
      </c>
      <c r="E14" s="26" t="s">
        <v>14</v>
      </c>
      <c r="F14" s="24" t="s">
        <v>15</v>
      </c>
      <c r="G14" s="24" t="s">
        <v>116</v>
      </c>
      <c r="H14" s="24" t="s">
        <v>117</v>
      </c>
      <c r="I14" s="24" t="s">
        <v>118</v>
      </c>
    </row>
    <row r="15" spans="2:6" x14ac:dyDescent="0.25">
      <c r="B15" s="11">
        <v>1</v>
      </c>
      <c r="C15" s="31" t="s">
        <v>153</v>
      </c>
      <c r="D15" s="32">
        <v>0</v>
      </c>
      <c r="E15" s="32">
        <v>0</v>
      </c>
      <c r="F15" s="9" t="s">
        <v>39</v>
      </c>
    </row>
    <row r="16" spans="2:6" x14ac:dyDescent="0.25">
      <c r="B16" s="33" t="s">
        <v>39</v>
      </c>
      <c r="C16" s="33" t="s">
        <v>154</v>
      </c>
      <c r="D16" s="34">
        <f>SUM(D15:D15)</f>
        <v>0</v>
      </c>
      <c r="E16" s="34">
        <f>SUM(E15:E15)</f>
        <v>0</v>
      </c>
      <c r="F16" s="35" t="s">
        <v>39</v>
      </c>
    </row>
    <row r="19" spans="2:9" x14ac:dyDescent="0.25">
      <c r="B19" s="24" t="s">
        <v>114</v>
      </c>
      <c r="C19" s="25" t="s">
        <v>155</v>
      </c>
      <c r="D19" s="26" t="s">
        <v>13</v>
      </c>
      <c r="E19" s="26" t="s">
        <v>14</v>
      </c>
      <c r="F19" s="24" t="s">
        <v>15</v>
      </c>
      <c r="G19" s="24" t="s">
        <v>116</v>
      </c>
      <c r="H19" s="24" t="s">
        <v>117</v>
      </c>
      <c r="I19" s="24" t="s">
        <v>118</v>
      </c>
    </row>
    <row r="20" spans="2:6" x14ac:dyDescent="0.25">
      <c r="B20" s="11">
        <v>1</v>
      </c>
      <c r="C20" s="31" t="s">
        <v>153</v>
      </c>
      <c r="D20" s="32">
        <v>0</v>
      </c>
      <c r="E20" s="32">
        <v>0</v>
      </c>
      <c r="F20" s="9" t="s">
        <v>156</v>
      </c>
    </row>
    <row r="21" spans="2:6" x14ac:dyDescent="0.25">
      <c r="B21" s="33" t="s">
        <v>39</v>
      </c>
      <c r="C21" s="33" t="s">
        <v>157</v>
      </c>
      <c r="D21" s="34">
        <f>SUM(D20:D20)</f>
        <v>0</v>
      </c>
      <c r="E21" s="34">
        <f>SUM(E20:E20)</f>
        <v>0</v>
      </c>
      <c r="F21" s="35" t="s">
        <v>39</v>
      </c>
    </row>
  </sheetData>
  <mergeCells count="3">
    <mergeCell ref="B2:F2"/>
    <mergeCell ref="B3:F3"/>
    <mergeCell ref="B4:F4"/>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28"/>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1" width="12" customWidth="1"/>
    <col min="12" max="26" width="7.75" customWidth="1"/>
  </cols>
  <sheetData>
    <row r="2" spans="2:6" x14ac:dyDescent="0.25">
      <c r="B2" s="18" t="s">
        <v>245</v>
      </c>
      <c r="C2" s="18"/>
      <c r="D2" s="18"/>
      <c r="E2" s="18"/>
      <c r="F2" s="18"/>
    </row>
    <row r="3" spans="2:6" x14ac:dyDescent="0.25">
      <c r="B3" s="19" t="s">
        <v>8</v>
      </c>
      <c r="C3" s="19"/>
      <c r="D3" s="19"/>
      <c r="E3" s="19"/>
      <c r="F3" s="19"/>
    </row>
    <row r="4" spans="2:6" x14ac:dyDescent="0.25">
      <c r="B4" s="20" t="s">
        <v>111</v>
      </c>
      <c r="C4" s="20"/>
      <c r="D4" s="20"/>
      <c r="E4" s="20"/>
      <c r="F4" s="20"/>
    </row>
    <row r="6" spans="2:2" x14ac:dyDescent="0.25">
      <c r="B6" s="28" t="s">
        <v>246</v>
      </c>
    </row>
    <row r="7" spans="2:2" x14ac:dyDescent="0.25">
      <c r="B7" s="36" t="s">
        <v>161</v>
      </c>
    </row>
    <row r="8" spans="2:9" x14ac:dyDescent="0.25">
      <c r="B8" s="24" t="s">
        <v>114</v>
      </c>
      <c r="C8" s="25" t="s">
        <v>115</v>
      </c>
      <c r="D8" s="26" t="s">
        <v>13</v>
      </c>
      <c r="E8" s="26" t="s">
        <v>14</v>
      </c>
      <c r="F8" s="24" t="s">
        <v>15</v>
      </c>
      <c r="G8" s="24" t="s">
        <v>116</v>
      </c>
      <c r="H8" s="24" t="s">
        <v>117</v>
      </c>
      <c r="I8" s="24" t="s">
        <v>118</v>
      </c>
    </row>
    <row r="9" spans="2:9" x14ac:dyDescent="0.25">
      <c r="B9" s="11">
        <v>1</v>
      </c>
      <c r="C9" s="31" t="s">
        <v>153</v>
      </c>
      <c r="D9" s="32">
        <v>0</v>
      </c>
      <c r="E9" s="32">
        <v>0</v>
      </c>
      <c r="F9" s="9" t="s">
        <v>39</v>
      </c>
      <c r="G9" t="s">
        <v>39</v>
      </c>
      <c r="H9" t="s">
        <v>39</v>
      </c>
      <c r="I9" t="s">
        <v>39</v>
      </c>
    </row>
    <row r="10" spans="3:5" x14ac:dyDescent="0.25">
      <c r="C10" s="33" t="s">
        <v>247</v>
      </c>
      <c r="D10" s="34">
        <f>SUM(D9:D9)</f>
        <v>0</v>
      </c>
      <c r="E10" s="34">
        <f>SUM(E9:E9)</f>
        <v>0</v>
      </c>
    </row>
    <row r="13" spans="2:2" x14ac:dyDescent="0.25">
      <c r="B13" s="28" t="s">
        <v>248</v>
      </c>
    </row>
    <row r="14" spans="2:9" x14ac:dyDescent="0.25">
      <c r="B14" s="24" t="s">
        <v>114</v>
      </c>
      <c r="C14" s="25" t="s">
        <v>115</v>
      </c>
      <c r="D14" s="26" t="s">
        <v>13</v>
      </c>
      <c r="E14" s="26" t="s">
        <v>14</v>
      </c>
      <c r="F14" s="24" t="s">
        <v>15</v>
      </c>
      <c r="G14" s="24" t="s">
        <v>116</v>
      </c>
      <c r="H14" s="24" t="s">
        <v>117</v>
      </c>
      <c r="I14" s="24" t="s">
        <v>118</v>
      </c>
    </row>
    <row r="15" spans="2:9" x14ac:dyDescent="0.25">
      <c r="B15" s="11">
        <v>1</v>
      </c>
      <c r="C15" s="31" t="s">
        <v>249</v>
      </c>
      <c r="D15" s="32">
        <v>16</v>
      </c>
      <c r="E15" s="32">
        <v>24</v>
      </c>
      <c r="F15" s="9" t="s">
        <v>250</v>
      </c>
      <c r="G15" t="s">
        <v>231</v>
      </c>
      <c r="H15" t="s">
        <v>39</v>
      </c>
      <c r="I15" t="s">
        <v>251</v>
      </c>
    </row>
    <row r="16" spans="3:5" x14ac:dyDescent="0.25">
      <c r="C16" s="33" t="s">
        <v>252</v>
      </c>
      <c r="D16" s="34">
        <f>SUM(D15:D15)</f>
        <v>16</v>
      </c>
      <c r="E16" s="34">
        <f>SUM(E15:E15)</f>
        <v>24</v>
      </c>
    </row>
    <row r="19" spans="2:2" x14ac:dyDescent="0.25">
      <c r="B19" s="28" t="s">
        <v>253</v>
      </c>
    </row>
    <row r="20" spans="2:9" x14ac:dyDescent="0.25">
      <c r="B20" s="24" t="s">
        <v>114</v>
      </c>
      <c r="C20" s="25" t="s">
        <v>115</v>
      </c>
      <c r="D20" s="26" t="s">
        <v>13</v>
      </c>
      <c r="E20" s="26" t="s">
        <v>14</v>
      </c>
      <c r="F20" s="24" t="s">
        <v>15</v>
      </c>
      <c r="G20" s="24" t="s">
        <v>116</v>
      </c>
      <c r="H20" s="24" t="s">
        <v>117</v>
      </c>
      <c r="I20" s="24" t="s">
        <v>118</v>
      </c>
    </row>
    <row r="21" spans="2:9" x14ac:dyDescent="0.25">
      <c r="B21" s="11">
        <v>1</v>
      </c>
      <c r="C21" s="31" t="s">
        <v>254</v>
      </c>
      <c r="D21" s="32">
        <v>0</v>
      </c>
      <c r="E21" s="32">
        <v>0</v>
      </c>
      <c r="F21" s="9" t="s">
        <v>255</v>
      </c>
      <c r="G21" t="s">
        <v>131</v>
      </c>
      <c r="H21" t="s">
        <v>39</v>
      </c>
      <c r="I21" t="s">
        <v>256</v>
      </c>
    </row>
    <row r="22" spans="3:5" x14ac:dyDescent="0.25">
      <c r="C22" s="33" t="s">
        <v>257</v>
      </c>
      <c r="D22" s="34">
        <f>SUM(D21:D21)</f>
        <v>0</v>
      </c>
      <c r="E22" s="34">
        <f>SUM(E21:E21)</f>
        <v>0</v>
      </c>
    </row>
    <row r="25" spans="2:2" x14ac:dyDescent="0.25">
      <c r="B25" s="28" t="s">
        <v>258</v>
      </c>
    </row>
    <row r="26" spans="2:9" x14ac:dyDescent="0.25">
      <c r="B26" s="24" t="s">
        <v>114</v>
      </c>
      <c r="C26" s="25" t="s">
        <v>115</v>
      </c>
      <c r="D26" s="26" t="s">
        <v>13</v>
      </c>
      <c r="E26" s="26" t="s">
        <v>14</v>
      </c>
      <c r="F26" s="24" t="s">
        <v>15</v>
      </c>
      <c r="G26" s="24" t="s">
        <v>116</v>
      </c>
      <c r="H26" s="24" t="s">
        <v>117</v>
      </c>
      <c r="I26" s="24" t="s">
        <v>118</v>
      </c>
    </row>
    <row r="27" spans="2:9" x14ac:dyDescent="0.25">
      <c r="B27" s="11">
        <v>1</v>
      </c>
      <c r="C27" s="31" t="s">
        <v>153</v>
      </c>
      <c r="D27" s="32">
        <v>0</v>
      </c>
      <c r="E27" s="32">
        <v>0</v>
      </c>
      <c r="F27" s="9" t="s">
        <v>39</v>
      </c>
      <c r="G27" t="s">
        <v>39</v>
      </c>
      <c r="H27" t="s">
        <v>39</v>
      </c>
      <c r="I27" t="s">
        <v>39</v>
      </c>
    </row>
    <row r="28" spans="3:5" x14ac:dyDescent="0.25">
      <c r="C28" s="33" t="s">
        <v>259</v>
      </c>
      <c r="D28" s="34">
        <f>SUM(D27:D27)</f>
        <v>0</v>
      </c>
      <c r="E28" s="34">
        <f>SUM(E27:E27)</f>
        <v>0</v>
      </c>
    </row>
  </sheetData>
  <mergeCells count="3">
    <mergeCell ref="B2:F2"/>
    <mergeCell ref="B3:F3"/>
    <mergeCell ref="B4:F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Dev Backend Estimates</vt:lpstr>
      <vt:lpstr>Dev Mobile Estimates</vt:lpstr>
      <vt:lpstr>Dev Web Estimates</vt:lpstr>
      <vt:lpstr>QA Estimates</vt:lpstr>
      <vt:lpstr>Design Estimates</vt:lpstr>
      <vt:lpstr>Other Estimates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 Factory</dc:creator>
  <dc:title>Estimation template (styles only)</dc:title>
  <cp:lastModifiedBy>Unknown</cp:lastModifiedBy>
  <dcterms:created xsi:type="dcterms:W3CDTF">2026-09-30T17:16:16Z</dcterms:created>
  <dcterms:modified xsi:type="dcterms:W3CDTF">2026-09-30T17:16:16Z</dcterms:modified>
</cp:coreProperties>
</file>